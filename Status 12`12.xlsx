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00453\Desktop\"/>
    </mc:Choice>
  </mc:AlternateContent>
  <xr:revisionPtr revIDLastSave="0" documentId="13_ncr:1_{DD2E9B26-029D-4A69-BB27-998F70FD0CFB}" xr6:coauthVersionLast="47" xr6:coauthVersionMax="47" xr10:uidLastSave="{00000000-0000-0000-0000-000000000000}"/>
  <bookViews>
    <workbookView xWindow="-110" yWindow="-110" windowWidth="19420" windowHeight="10300" xr2:uid="{5E231BDD-28FD-4E00-BD02-5DD5FC0D0324}"/>
  </bookViews>
  <sheets>
    <sheet name="Detailed Status" sheetId="3" r:id="rId1"/>
    <sheet name="Tax Reform" sheetId="21" r:id="rId2"/>
    <sheet name="Sales Demand - Summary Report" sheetId="19" r:id="rId3"/>
    <sheet name="Summary Commercial Demands" sheetId="20" r:id="rId4"/>
  </sheets>
  <definedNames>
    <definedName name="_xlnm.Print_Area" localSheetId="0">'Detailed Status'!$B$1:$EC$79</definedName>
    <definedName name="_xlnm.Print_Area" localSheetId="2">'Sales Demand - Summary Report'!$B$1:$AQ$10</definedName>
    <definedName name="_xlnm.Print_Area" localSheetId="3">'Summary Commercial Demands'!$B$1:$AS$106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0" l="1"/>
  <c r="C1" i="19"/>
  <c r="C4" i="3" l="1"/>
  <c r="C2" i="3"/>
</calcChain>
</file>

<file path=xl/sharedStrings.xml><?xml version="1.0" encoding="utf-8"?>
<sst xmlns="http://schemas.openxmlformats.org/spreadsheetml/2006/main" count="178" uniqueCount="101">
  <si>
    <t>Month 0</t>
  </si>
  <si>
    <t xml:space="preserve">Month 1 </t>
  </si>
  <si>
    <t xml:space="preserve">Month 2 </t>
  </si>
  <si>
    <t>Month 3</t>
  </si>
  <si>
    <t>Month 4</t>
  </si>
  <si>
    <t xml:space="preserve">Month 5 </t>
  </si>
  <si>
    <t>Month 6</t>
  </si>
  <si>
    <t>Month 7</t>
  </si>
  <si>
    <t>Month 8</t>
  </si>
  <si>
    <t xml:space="preserve">Module </t>
  </si>
  <si>
    <t>Demand / Description</t>
  </si>
  <si>
    <t>Status</t>
  </si>
  <si>
    <t>This Week</t>
  </si>
  <si>
    <t>Next Week</t>
  </si>
  <si>
    <t>Issues &amp; Risks</t>
  </si>
  <si>
    <t>Setember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</si>
  <si>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</si>
  <si>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</si>
  <si>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</si>
  <si>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</si>
  <si>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</si>
  <si>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</si>
  <si>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</si>
  <si>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</si>
  <si>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</si>
  <si>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</si>
  <si>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</si>
  <si>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</si>
  <si>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</si>
  <si>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</si>
  <si>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</si>
  <si>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</si>
  <si>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</si>
  <si>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</si>
  <si>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</si>
  <si>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</si>
  <si>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</si>
  <si>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Sep</t>
  </si>
  <si>
    <t>Vehicle Sales</t>
  </si>
  <si>
    <r>
      <rPr>
        <b/>
        <sz val="12"/>
        <color theme="1"/>
        <rFont val="Calibri"/>
        <family val="2"/>
        <scheme val="minor"/>
      </rPr>
      <t xml:space="preserve">LOGISTIC - Integration between GDMC and factory system 
</t>
    </r>
    <r>
      <rPr>
        <i/>
        <u/>
        <sz val="12"/>
        <color theme="1"/>
        <rFont val="Calibri"/>
        <family val="2"/>
        <scheme val="minor"/>
      </rPr>
      <t xml:space="preserve">Support commercial area in Vehicle request and monitoring at IRA production factory
</t>
    </r>
    <r>
      <rPr>
        <b/>
        <sz val="11"/>
        <color theme="1"/>
        <rFont val="Calibri"/>
        <family val="2"/>
        <scheme val="minor"/>
      </rPr>
      <t xml:space="preserve">
Targets
</t>
    </r>
    <r>
      <rPr>
        <sz val="11"/>
        <color theme="1"/>
        <rFont val="Calibri"/>
        <family val="2"/>
        <scheme val="minor"/>
      </rPr>
      <t>- Avoid manual task to request vehicle by IRA facotry.</t>
    </r>
    <r>
      <rPr>
        <b/>
        <sz val="11"/>
        <color theme="1"/>
        <rFont val="Calibri"/>
        <family val="2"/>
        <scheme val="minor"/>
      </rPr>
      <t xml:space="preserve">
PIC: </t>
    </r>
    <r>
      <rPr>
        <sz val="11"/>
        <color theme="1"/>
        <rFont val="Calibri"/>
        <family val="2"/>
        <scheme val="minor"/>
      </rPr>
      <t>M. Pereira</t>
    </r>
    <r>
      <rPr>
        <b/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alibri"/>
        <family val="2"/>
        <scheme val="minor"/>
      </rPr>
      <t>Marcela / Sandro / Paulo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</si>
  <si>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PHASE II GDMC </t>
    </r>
    <r>
      <rPr>
        <i/>
        <u/>
        <sz val="11"/>
        <color theme="1"/>
        <rFont val="Calibri"/>
        <family val="2"/>
        <scheme val="minor"/>
      </rPr>
      <t>(Status vehicle)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IT Test : </t>
    </r>
    <r>
      <rPr>
        <sz val="11"/>
        <color theme="1"/>
        <rFont val="Calibri"/>
        <family val="2"/>
        <scheme val="minor"/>
      </rPr>
      <t xml:space="preserve">90% complete. </t>
    </r>
    <r>
      <rPr>
        <i/>
        <u/>
        <sz val="11"/>
        <color theme="1"/>
        <rFont val="Calibri"/>
        <family val="2"/>
        <scheme val="minor"/>
      </rPr>
      <t>(On-hold resource replacement)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- Knowledge transfer on-going. (Resource replacement)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SAP </t>
    </r>
    <r>
      <rPr>
        <i/>
        <u/>
        <sz val="11"/>
        <color theme="1"/>
        <rFont val="Calibri"/>
        <family val="2"/>
        <scheme val="minor"/>
      </rPr>
      <t>(Conflict of Setup with Factory project)</t>
    </r>
    <r>
      <rPr>
        <sz val="11"/>
        <color theme="1"/>
        <rFont val="Calibri"/>
        <family val="2"/>
        <scheme val="minor"/>
      </rPr>
      <t xml:space="preserve">:  
</t>
    </r>
    <r>
      <rPr>
        <b/>
        <sz val="11"/>
        <color theme="1"/>
        <rFont val="Calibri"/>
        <family val="2"/>
        <scheme val="minor"/>
      </rPr>
      <t xml:space="preserve">Development: </t>
    </r>
    <r>
      <rPr>
        <sz val="11"/>
        <color theme="1"/>
        <rFont val="Calibri"/>
        <family val="2"/>
        <scheme val="minor"/>
      </rPr>
      <t>On-hold due to SAP outage - The same resource works in the PI/PO setup</t>
    </r>
  </si>
  <si>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PHASE II GDMC</t>
    </r>
    <r>
      <rPr>
        <sz val="11"/>
        <rFont val="Calibri"/>
        <family val="2"/>
        <scheme val="minor"/>
      </rPr>
      <t xml:space="preserve">: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Knowledge transfer 
</t>
    </r>
    <r>
      <rPr>
        <b/>
        <sz val="11"/>
        <rFont val="Calibri"/>
        <family val="2"/>
        <scheme val="minor"/>
      </rPr>
      <t>SAP - Setup conflict</t>
    </r>
    <r>
      <rPr>
        <sz val="11"/>
        <rFont val="Calibri"/>
        <family val="2"/>
        <scheme val="minor"/>
      </rPr>
      <t xml:space="preserve">
Evaluate the return of this task due to workload</t>
    </r>
  </si>
  <si>
    <r>
      <t xml:space="preserve">Tax Reform 2025 (Commercial system)
Target
</t>
    </r>
    <r>
      <rPr>
        <sz val="12"/>
        <color theme="1"/>
        <rFont val="Calibri"/>
        <family val="2"/>
        <scheme val="minor"/>
      </rPr>
      <t>- Compliance with legal requirement to ensure that GWM Brazil’s sales are not affected.</t>
    </r>
  </si>
  <si>
    <r>
      <rPr>
        <b/>
        <sz val="11"/>
        <color theme="1"/>
        <rFont val="Calibri"/>
        <family val="2"/>
        <scheme val="minor"/>
      </rPr>
      <t>IT Test:</t>
    </r>
    <r>
      <rPr>
        <sz val="11"/>
        <color theme="1"/>
        <rFont val="Calibri"/>
        <family val="2"/>
        <scheme val="minor"/>
      </rPr>
      <t xml:space="preserve">  On-going.
So far, we have had two issues: one has been resolved and the other is currently being adjusted.</t>
    </r>
  </si>
  <si>
    <t>Keeping IT test until Dec, 12th</t>
  </si>
  <si>
    <r>
      <t xml:space="preserve">Business segregation -  Phase I 
</t>
    </r>
    <r>
      <rPr>
        <sz val="12"/>
        <color theme="1"/>
        <rFont val="Calibri"/>
        <family val="2"/>
        <scheme val="minor"/>
      </rPr>
      <t xml:space="preserve">
'Support GWM Brazil's plan to split the company into a sales subsidiary in order to benefit from the PIS and COFINS tax reduction.</t>
    </r>
  </si>
  <si>
    <r>
      <rPr>
        <b/>
        <sz val="11"/>
        <color theme="1"/>
        <rFont val="Calibri"/>
        <family val="2"/>
        <scheme val="minor"/>
      </rPr>
      <t>Development:</t>
    </r>
    <r>
      <rPr>
        <sz val="11"/>
        <color theme="1"/>
        <rFont val="Calibri"/>
        <family val="2"/>
        <scheme val="minor"/>
      </rPr>
      <t xml:space="preserve">  On-going as planned.</t>
    </r>
  </si>
  <si>
    <t>- Devlopment keep until Dec, 12th
- Start the IT tests</t>
  </si>
  <si>
    <t xml:space="preserve">Vehicle Sales </t>
  </si>
  <si>
    <r>
      <t xml:space="preserve">Leads - Add new leads fields in the interfaces
Target
</t>
    </r>
    <r>
      <rPr>
        <sz val="12"/>
        <color theme="1"/>
        <rFont val="Calibri"/>
        <family val="2"/>
        <scheme val="minor"/>
      </rPr>
      <t>- Reducing manual data manipulation and based on this increases the ensurance of LGPD compliance .
- increase lead volume in 30%.
- Reach the average market rate of lead conversion (7%)
- Sales increase forecast R$ 49.000.000 (monthly)</t>
    </r>
  </si>
  <si>
    <r>
      <rPr>
        <b/>
        <sz val="11"/>
        <color theme="1"/>
        <rFont val="Calibri"/>
        <family val="2"/>
        <scheme val="minor"/>
      </rPr>
      <t>User Test:</t>
    </r>
    <r>
      <rPr>
        <sz val="11"/>
        <color theme="1"/>
        <rFont val="Calibri"/>
        <family val="2"/>
        <scheme val="minor"/>
      </rPr>
      <t xml:space="preserve">  Released to tests - Business request more time to perform the tests</t>
    </r>
  </si>
  <si>
    <t>Keep in UAT until Dec, 19th</t>
  </si>
  <si>
    <r>
      <t xml:space="preserve">GDMC integration with Meta &amp; Google 
Target
</t>
    </r>
    <r>
      <rPr>
        <sz val="12"/>
        <color theme="1"/>
        <rFont val="Calibri"/>
        <family val="2"/>
        <scheme val="minor"/>
      </rPr>
      <t>- Increase lead conversion with better campaigns based on GDMC data inside of Meta and google.</t>
    </r>
    <r>
      <rPr>
        <b/>
        <sz val="12"/>
        <color theme="1"/>
        <rFont val="Calibri"/>
        <family val="2"/>
        <scheme val="minor"/>
      </rPr>
      <t xml:space="preserve">
- </t>
    </r>
    <r>
      <rPr>
        <sz val="12"/>
        <color theme="1"/>
        <rFont val="Calibri"/>
        <family val="2"/>
        <scheme val="minor"/>
      </rPr>
      <t>Increase forecast sales R$ 4M.</t>
    </r>
  </si>
  <si>
    <t>ON HOLD – The business area will align with the agency, and once this alignment is completed, we will restart the initiative.</t>
  </si>
  <si>
    <r>
      <t xml:space="preserve">LOGISTIC - RDC Car Managment - Integration between GDMC and HQ system 
</t>
    </r>
    <r>
      <rPr>
        <i/>
        <u/>
        <sz val="11"/>
        <color theme="1"/>
        <rFont val="Calibri"/>
        <family val="2"/>
        <scheme val="minor"/>
      </rPr>
      <t>Share BR vehicle with HQ system to restrict the vehicle moniting by Brazil</t>
    </r>
    <r>
      <rPr>
        <b/>
        <sz val="11"/>
        <color theme="1"/>
        <rFont val="Calibri"/>
        <family val="2"/>
        <scheme val="minor"/>
      </rPr>
      <t xml:space="preserve">
Targets
</t>
    </r>
    <r>
      <rPr>
        <sz val="11"/>
        <color theme="1"/>
        <rFont val="Calibri"/>
        <family val="2"/>
        <scheme val="minor"/>
      </rPr>
      <t>- Eliminate manual tasks to monitory batery level, fuel and other itens of cars in the RDC.</t>
    </r>
    <r>
      <rPr>
        <b/>
        <sz val="11"/>
        <color theme="1"/>
        <rFont val="Calibri"/>
        <family val="2"/>
        <scheme val="minor"/>
      </rPr>
      <t xml:space="preserve">
PIC: Pereira / E. Standerski </t>
    </r>
  </si>
  <si>
    <r>
      <rPr>
        <b/>
        <sz val="11"/>
        <rFont val="Calibri"/>
        <family val="2"/>
        <scheme val="minor"/>
      </rPr>
      <t>User Test :</t>
    </r>
    <r>
      <rPr>
        <sz val="11"/>
        <rFont val="Calibri"/>
        <family val="2"/>
        <scheme val="minor"/>
      </rPr>
      <t xml:space="preserve"> Business area is no availability to perform the test</t>
    </r>
  </si>
  <si>
    <r>
      <rPr>
        <b/>
        <sz val="12"/>
        <color theme="1"/>
        <rFont val="Calibri"/>
        <family val="2"/>
        <scheme val="minor"/>
      </rPr>
      <t>Gboom code as SKU for local factory vehicle - Impact analysis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Perform a end-to-end process in order to analyze impact to using G-Bom code as SKU for local fatocry vehicle</t>
    </r>
    <r>
      <rPr>
        <i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Targets
</t>
    </r>
    <r>
      <rPr>
        <sz val="11"/>
        <color theme="1"/>
        <rFont val="Calibri"/>
        <family val="2"/>
        <scheme val="minor"/>
      </rPr>
      <t xml:space="preserve">- Support tax legislation for the local factory vehicle
- Enable solution to cover the current sales process without big changes.
</t>
    </r>
    <r>
      <rPr>
        <b/>
        <sz val="11"/>
        <color theme="1"/>
        <rFont val="Calibri"/>
        <family val="2"/>
        <scheme val="minor"/>
      </rPr>
      <t xml:space="preserve">
PIC: </t>
    </r>
    <r>
      <rPr>
        <sz val="11"/>
        <color theme="1"/>
        <rFont val="Calibri"/>
        <family val="2"/>
        <scheme val="minor"/>
      </rPr>
      <t>M. Pereira</t>
    </r>
  </si>
  <si>
    <r>
      <rPr>
        <b/>
        <sz val="11"/>
        <rFont val="Calibri"/>
        <family val="2"/>
        <scheme val="minor"/>
      </rPr>
      <t>IT teste:</t>
    </r>
    <r>
      <rPr>
        <sz val="11"/>
        <rFont val="Calibri"/>
        <family val="2"/>
        <scheme val="minor"/>
      </rPr>
      <t xml:space="preserve"> 50% complete </t>
    </r>
  </si>
  <si>
    <t>Finish IT test</t>
  </si>
  <si>
    <t>After Sales</t>
  </si>
  <si>
    <r>
      <rPr>
        <b/>
        <sz val="12"/>
        <color theme="1"/>
        <rFont val="Calibri"/>
        <family val="2"/>
        <scheme val="minor"/>
      </rPr>
      <t xml:space="preserve">AFTER SALES - Spare Parts Price to DMS </t>
    </r>
    <r>
      <rPr>
        <i/>
        <sz val="12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Targets 
</t>
    </r>
    <r>
      <rPr>
        <sz val="11"/>
        <color theme="1"/>
        <rFont val="Calibri"/>
        <family val="2"/>
        <scheme val="minor"/>
      </rPr>
      <t>- Increasing the eficiency avoiding manual errors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Reduce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575hrs (year)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of business area to generate price information for each dealer
- Reduced R$6,576.00 in tool costs per year.
</t>
    </r>
  </si>
  <si>
    <t xml:space="preserve">Go-Live done </t>
  </si>
  <si>
    <t xml:space="preserve">Under monitoring </t>
  </si>
  <si>
    <t>SAP Commercial</t>
  </si>
  <si>
    <r>
      <rPr>
        <b/>
        <sz val="12"/>
        <color theme="1"/>
        <rFont val="Calibri"/>
        <family val="2"/>
        <scheme val="minor"/>
      </rPr>
      <t>Symbolic transfer</t>
    </r>
    <r>
      <rPr>
        <sz val="11"/>
        <color theme="1"/>
        <rFont val="Calibri"/>
        <family val="2"/>
        <scheme val="minor"/>
      </rPr>
      <t xml:space="preserve">
Perfom a symbolic transfer of the car to perfom the sales by Espirito Santo state.
</t>
    </r>
    <r>
      <rPr>
        <b/>
        <sz val="11"/>
        <color theme="1"/>
        <rFont val="Calibri"/>
        <family val="2"/>
        <scheme val="minor"/>
      </rPr>
      <t xml:space="preserve">Targets 
</t>
    </r>
    <r>
      <rPr>
        <sz val="11"/>
        <color theme="1"/>
        <rFont val="Calibri"/>
        <family val="2"/>
        <scheme val="minor"/>
      </rPr>
      <t>- Recovery ICMS credit balance.
PIC: Marcela / Sandro</t>
    </r>
  </si>
  <si>
    <r>
      <rPr>
        <b/>
        <sz val="11"/>
        <rFont val="Calibri"/>
        <family val="2"/>
        <scheme val="minor"/>
      </rPr>
      <t>Development:</t>
    </r>
    <r>
      <rPr>
        <sz val="11"/>
        <rFont val="Calibri"/>
        <family val="2"/>
        <scheme val="minor"/>
      </rPr>
      <t xml:space="preserve"> 90% (Pending user definition  - mandatory change Request).
High risk of workload with other projects</t>
    </r>
  </si>
  <si>
    <t>Data Lake</t>
  </si>
  <si>
    <r>
      <t xml:space="preserve">Vehicle service revision retention 
</t>
    </r>
    <r>
      <rPr>
        <i/>
        <u/>
        <sz val="11"/>
        <rFont val="Calibri"/>
        <family val="2"/>
        <scheme val="minor"/>
      </rPr>
      <t xml:space="preserve">Identify vehicle revision time in order to booking service revision
</t>
    </r>
    <r>
      <rPr>
        <b/>
        <sz val="11"/>
        <rFont val="Calibri"/>
        <family val="2"/>
        <scheme val="minor"/>
      </rPr>
      <t xml:space="preserve">
Target:  
</t>
    </r>
    <r>
      <rPr>
        <sz val="11"/>
        <rFont val="Calibri"/>
        <family val="2"/>
        <scheme val="minor"/>
      </rPr>
      <t xml:space="preserve">- Avoiding manual task, 07:30hrs by months.
- Increase 30% of revision services.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PIC: </t>
    </r>
    <r>
      <rPr>
        <b/>
        <sz val="11"/>
        <rFont val="Calibri"/>
        <family val="2"/>
        <scheme val="minor"/>
      </rPr>
      <t>M. Lopes</t>
    </r>
  </si>
  <si>
    <t xml:space="preserve"> 
</t>
  </si>
  <si>
    <r>
      <t xml:space="preserve">Top management KPIs. (President request)
</t>
    </r>
    <r>
      <rPr>
        <i/>
        <sz val="11"/>
        <rFont val="Calibri"/>
        <family val="2"/>
        <scheme val="minor"/>
      </rPr>
      <t>Generate top management KPIs to monitoring the commercial operation</t>
    </r>
    <r>
      <rPr>
        <i/>
        <u/>
        <sz val="11"/>
        <rFont val="Calibri"/>
        <family val="2"/>
        <scheme val="minor"/>
      </rPr>
      <t xml:space="preserve">. (President request)
</t>
    </r>
    <r>
      <rPr>
        <b/>
        <sz val="11"/>
        <rFont val="Calibri"/>
        <family val="2"/>
        <scheme val="minor"/>
      </rPr>
      <t xml:space="preserve">
Target:  
</t>
    </r>
    <r>
      <rPr>
        <sz val="11"/>
        <rFont val="Calibri"/>
        <family val="2"/>
        <scheme val="minor"/>
      </rPr>
      <t xml:space="preserve">- One source data.
- Official information of the company.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PIC: </t>
    </r>
    <r>
      <rPr>
        <b/>
        <sz val="11"/>
        <rFont val="Calibri"/>
        <family val="2"/>
        <scheme val="minor"/>
      </rPr>
      <t>M. Lopes</t>
    </r>
  </si>
  <si>
    <r>
      <t xml:space="preserve">After Sales Tomorrow Guide PHASE I (NPS &amp; WARRANTY)
</t>
    </r>
    <r>
      <rPr>
        <i/>
        <sz val="11"/>
        <rFont val="Calibri"/>
        <family val="2"/>
        <scheme val="minor"/>
      </rPr>
      <t>G</t>
    </r>
    <r>
      <rPr>
        <i/>
        <u/>
        <sz val="11"/>
        <rFont val="Calibri"/>
        <family val="2"/>
        <scheme val="minor"/>
      </rPr>
      <t xml:space="preserve">enerate a standard KPIs to evaluate dealer performance at after sales operations.
</t>
    </r>
    <r>
      <rPr>
        <b/>
        <sz val="11"/>
        <rFont val="Calibri"/>
        <family val="2"/>
        <scheme val="minor"/>
      </rPr>
      <t xml:space="preserve">
Target:  
</t>
    </r>
    <r>
      <rPr>
        <sz val="11"/>
        <rFont val="Calibri"/>
        <family val="2"/>
        <scheme val="minor"/>
      </rPr>
      <t xml:space="preserve">- Generate Operational KPIs.
- Genarate Dealer Managment KPIs.
- Generate Customer Satisfactions KPIs.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PIC: </t>
    </r>
    <r>
      <rPr>
        <b/>
        <sz val="11"/>
        <rFont val="Calibri"/>
        <family val="2"/>
        <scheme val="minor"/>
      </rPr>
      <t>M. Lopes</t>
    </r>
  </si>
  <si>
    <t>May, 30th</t>
  </si>
  <si>
    <t>Next Step</t>
  </si>
  <si>
    <t xml:space="preserve">Sales Demands </t>
  </si>
  <si>
    <r>
      <rPr>
        <b/>
        <sz val="18"/>
        <rFont val="Calibri"/>
        <family val="2"/>
        <scheme val="minor"/>
      </rPr>
      <t xml:space="preserve">Quota : </t>
    </r>
    <r>
      <rPr>
        <u/>
        <sz val="18"/>
        <rFont val="Calibri"/>
        <family val="2"/>
        <scheme val="minor"/>
      </rPr>
      <t>On time</t>
    </r>
    <r>
      <rPr>
        <i/>
        <sz val="14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>Go-Live: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Done.</t>
    </r>
    <r>
      <rPr>
        <i/>
        <sz val="14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>National Stock Allocation :</t>
    </r>
    <r>
      <rPr>
        <i/>
        <sz val="14"/>
        <rFont val="Calibri"/>
        <family val="2"/>
        <scheme val="minor"/>
      </rPr>
      <t xml:space="preserve"> </t>
    </r>
    <r>
      <rPr>
        <u/>
        <sz val="18"/>
        <rFont val="Calibri"/>
        <family val="2"/>
        <scheme val="minor"/>
      </rPr>
      <t>On-time</t>
    </r>
    <r>
      <rPr>
        <i/>
        <sz val="14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>IT Tests:</t>
    </r>
    <r>
      <rPr>
        <sz val="14"/>
        <rFont val="Calibri"/>
        <family val="2"/>
        <scheme val="minor"/>
      </rPr>
      <t xml:space="preserve"> 100%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complete.
</t>
    </r>
    <r>
      <rPr>
        <b/>
        <sz val="14"/>
        <rFont val="Calibri"/>
        <family val="2"/>
        <scheme val="minor"/>
      </rPr>
      <t>User test:</t>
    </r>
    <r>
      <rPr>
        <sz val="14"/>
        <rFont val="Calibri"/>
        <family val="2"/>
        <scheme val="minor"/>
      </rPr>
      <t xml:space="preserve"> to be released to business area at Jun, 16th.
</t>
    </r>
    <r>
      <rPr>
        <b/>
        <sz val="14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>60 days age stock allocation</t>
    </r>
    <r>
      <rPr>
        <b/>
        <sz val="14"/>
        <rFont val="Calibri"/>
        <family val="2"/>
        <scheme val="minor"/>
      </rPr>
      <t xml:space="preserve"> : </t>
    </r>
    <r>
      <rPr>
        <u/>
        <sz val="18"/>
        <rFont val="Calibri"/>
        <family val="2"/>
        <scheme val="minor"/>
      </rPr>
      <t xml:space="preserve">On-time </t>
    </r>
    <r>
      <rPr>
        <b/>
        <sz val="14"/>
        <rFont val="Calibri"/>
        <family val="2"/>
        <scheme val="minor"/>
      </rPr>
      <t xml:space="preserve">
IT Tests: </t>
    </r>
    <r>
      <rPr>
        <sz val="14"/>
        <rFont val="Calibri"/>
        <family val="2"/>
        <scheme val="minor"/>
      </rPr>
      <t>15% complete.</t>
    </r>
  </si>
  <si>
    <r>
      <rPr>
        <b/>
        <sz val="18"/>
        <rFont val="Calibri"/>
        <family val="2"/>
        <scheme val="minor"/>
      </rPr>
      <t xml:space="preserve">Quota </t>
    </r>
    <r>
      <rPr>
        <sz val="14"/>
        <rFont val="Calibri"/>
        <family val="2"/>
        <scheme val="minor"/>
      </rPr>
      <t xml:space="preserve">
- Under monitoring
</t>
    </r>
    <r>
      <rPr>
        <b/>
        <sz val="12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 xml:space="preserve">National Stock Allocation </t>
    </r>
    <r>
      <rPr>
        <b/>
        <sz val="12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 xml:space="preserve">- </t>
    </r>
    <r>
      <rPr>
        <b/>
        <sz val="14"/>
        <rFont val="Calibri"/>
        <family val="2"/>
        <scheme val="minor"/>
      </rPr>
      <t>User Test</t>
    </r>
    <r>
      <rPr>
        <sz val="14"/>
        <rFont val="Calibri"/>
        <family val="2"/>
        <scheme val="minor"/>
      </rPr>
      <t xml:space="preserve"> keep until Jun, 27th
</t>
    </r>
    <r>
      <rPr>
        <b/>
        <sz val="10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 xml:space="preserve">
60 days age stock allocation</t>
    </r>
    <r>
      <rPr>
        <b/>
        <sz val="14"/>
        <rFont val="Calibri"/>
        <family val="2"/>
        <scheme val="minor"/>
      </rPr>
      <t xml:space="preserve"> 
</t>
    </r>
    <r>
      <rPr>
        <sz val="14"/>
        <rFont val="Calibri"/>
        <family val="2"/>
        <scheme val="minor"/>
      </rPr>
      <t xml:space="preserve">- </t>
    </r>
    <r>
      <rPr>
        <b/>
        <sz val="14"/>
        <rFont val="Calibri"/>
        <family val="2"/>
        <scheme val="minor"/>
      </rPr>
      <t>IT Test</t>
    </r>
    <r>
      <rPr>
        <sz val="14"/>
        <rFont val="Calibri"/>
        <family val="2"/>
        <scheme val="minor"/>
      </rPr>
      <t xml:space="preserve"> keep until Jun, 20th</t>
    </r>
  </si>
  <si>
    <t>Project / Initiative</t>
  </si>
  <si>
    <t>Sales Demands</t>
  </si>
  <si>
    <t>Quota x Allocation</t>
  </si>
  <si>
    <t>GO-LIVE DONE</t>
  </si>
  <si>
    <t>National Stock Allocation</t>
  </si>
  <si>
    <r>
      <t>Under user test:</t>
    </r>
    <r>
      <rPr>
        <sz val="12"/>
        <rFont val="Calibri"/>
        <family val="2"/>
        <scheme val="minor"/>
      </rPr>
      <t xml:space="preserve"> to be finished at Jul, 18th due to sales closing period and salles planing team work replacement.</t>
    </r>
  </si>
  <si>
    <r>
      <t xml:space="preserve">GO-LIVE: </t>
    </r>
    <r>
      <rPr>
        <sz val="12"/>
        <rFont val="Calibri"/>
        <family val="2"/>
        <scheme val="minor"/>
      </rPr>
      <t>keep until Jun, 21th</t>
    </r>
  </si>
  <si>
    <t>60 days age stock allocation</t>
  </si>
  <si>
    <t>2o transportation company</t>
  </si>
  <si>
    <t xml:space="preserve">Fatory system &amp; GDMC integrations </t>
  </si>
  <si>
    <t>GDMC Whole Sales</t>
  </si>
  <si>
    <t xml:space="preserve">Symbolic Transfer </t>
  </si>
  <si>
    <t xml:space="preserve">Aundit System &amp; GDMC Integration  </t>
  </si>
  <si>
    <t>Support to trade company replacement</t>
  </si>
  <si>
    <t>CRM</t>
  </si>
  <si>
    <t>INCLUIR CRONOGRAMA</t>
  </si>
  <si>
    <t>Sales &amp; After Sales</t>
  </si>
  <si>
    <t>TAX REFORM</t>
  </si>
  <si>
    <t>After Sales &amp; Spare Parts</t>
  </si>
  <si>
    <t>Whole Sales &amp; Stock Transposition Demands (Commercial)</t>
  </si>
  <si>
    <r>
      <rPr>
        <b/>
        <sz val="11"/>
        <rFont val="Calibri"/>
        <family val="2"/>
        <scheme val="minor"/>
      </rPr>
      <t xml:space="preserve">Phase I (Vehicle Sales)
</t>
    </r>
    <r>
      <rPr>
        <sz val="11"/>
        <rFont val="Calibri"/>
        <family val="2"/>
        <scheme val="minor"/>
      </rPr>
      <t>- The KPIs were presented to Mr. Andy, and we are now releasing them to the President and Country Manager for daily use.
Mr. Zhang &gt; Already Delivered
Country Manager &gt; To be delivered
'Start to work in details of new requirments of Mrs Andy Zhang</t>
    </r>
  </si>
  <si>
    <r>
      <rPr>
        <b/>
        <sz val="11"/>
        <rFont val="Calibri"/>
        <family val="2"/>
        <scheme val="minor"/>
      </rPr>
      <t>NPS 
     - UAT:</t>
    </r>
    <r>
      <rPr>
        <sz val="11"/>
        <rFont val="Calibri"/>
        <family val="2"/>
        <scheme val="minor"/>
      </rPr>
      <t xml:space="preserve"> 80% complete
</t>
    </r>
    <r>
      <rPr>
        <b/>
        <sz val="11"/>
        <rFont val="Calibri"/>
        <family val="2"/>
        <scheme val="minor"/>
      </rPr>
      <t>Warranty</t>
    </r>
    <r>
      <rPr>
        <sz val="11"/>
        <rFont val="Calibri"/>
        <family val="2"/>
        <scheme val="minor"/>
      </rPr>
      <t xml:space="preserve">
    - </t>
    </r>
    <r>
      <rPr>
        <b/>
        <sz val="11"/>
        <rFont val="Calibri"/>
        <family val="2"/>
        <scheme val="minor"/>
      </rPr>
      <t>ON-HOLD -  AMS contract finish</t>
    </r>
    <r>
      <rPr>
        <sz val="1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</si>
  <si>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NPS </t>
    </r>
    <r>
      <rPr>
        <sz val="11"/>
        <rFont val="Calibri"/>
        <family val="2"/>
        <scheme val="minor"/>
      </rPr>
      <t xml:space="preserve">
    - User on vacation
</t>
    </r>
  </si>
  <si>
    <r>
      <t>PHASE II: Channel Communcation Management
UAT:</t>
    </r>
    <r>
      <rPr>
        <sz val="11"/>
        <color theme="1"/>
        <rFont val="Calibri"/>
        <family val="2"/>
        <scheme val="minor"/>
      </rPr>
      <t xml:space="preserve"> License allocated to user</t>
    </r>
    <r>
      <rPr>
        <b/>
        <sz val="11"/>
        <color theme="1"/>
        <rFont val="Calibri"/>
        <family val="2"/>
        <scheme val="minor"/>
      </rPr>
      <t xml:space="preserve">
User Test: IT is conducting tests together with the user - user on vacation until 05`Jan</t>
    </r>
  </si>
  <si>
    <t>Estimate Next Deliverables for sales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</si>
</sst>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8"/>
      <name val="Calibri"/>
      <family val="2"/>
      <scheme val="minor"/>
    </font>
    <font>
      <u/>
      <sz val="18"/>
      <name val="Calibri"/>
      <family val="2"/>
      <scheme val="minor"/>
    </font>
    <font>
      <i/>
      <u/>
      <sz val="11"/>
      <name val="Calibri"/>
      <family val="2"/>
      <scheme val="minor"/>
    </font>
    <font>
      <i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dashed">
        <color theme="0" tint="-0.14996795556505021"/>
      </right>
      <top style="thin">
        <color indexed="64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/>
      <diagonal/>
    </border>
    <border>
      <left style="medium">
        <color indexed="64"/>
      </left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/>
      <bottom/>
      <diagonal/>
    </border>
    <border>
      <left style="medium">
        <color indexed="64"/>
      </left>
      <right style="dashed">
        <color theme="0" tint="-0.14996795556505021"/>
      </right>
      <top/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medium">
        <color indexed="64"/>
      </top>
      <bottom/>
      <diagonal/>
    </border>
    <border>
      <left style="dashed">
        <color theme="0" tint="-0.14996795556505021"/>
      </left>
      <right/>
      <top style="thin">
        <color indexed="64"/>
      </top>
      <bottom/>
      <diagonal/>
    </border>
    <border>
      <left style="dashed">
        <color theme="0" tint="-0.14996795556505021"/>
      </left>
      <right/>
      <top/>
      <bottom/>
      <diagonal/>
    </border>
    <border>
      <left style="dashed">
        <color theme="0" tint="-0.14996795556505021"/>
      </left>
      <right/>
      <top/>
      <bottom style="medium">
        <color indexed="64"/>
      </bottom>
      <diagonal/>
    </border>
    <border>
      <left/>
      <right style="dashed">
        <color theme="0" tint="-0.14996795556505021"/>
      </right>
      <top style="thin">
        <color indexed="64"/>
      </top>
      <bottom/>
      <diagonal/>
    </border>
    <border>
      <left/>
      <right style="dashed">
        <color theme="0" tint="-0.14996795556505021"/>
      </right>
      <top/>
      <bottom/>
      <diagonal/>
    </border>
    <border>
      <left/>
      <right style="dashed">
        <color theme="0" tint="-0.14996795556505021"/>
      </right>
      <top/>
      <bottom style="medium">
        <color indexed="64"/>
      </bottom>
      <diagonal/>
    </border>
    <border>
      <left style="medium">
        <color theme="0" tint="-0.34998626667073579"/>
      </left>
      <right style="dashed">
        <color theme="0" tint="-0.14996795556505021"/>
      </right>
      <top style="thin">
        <color indexed="64"/>
      </top>
      <bottom/>
      <diagonal/>
    </border>
    <border>
      <left style="dashed">
        <color theme="0" tint="-0.14996795556505021"/>
      </left>
      <right style="medium">
        <color theme="0" tint="-0.34998626667073579"/>
      </right>
      <top style="thin">
        <color indexed="64"/>
      </top>
      <bottom/>
      <diagonal/>
    </border>
    <border>
      <left style="medium">
        <color theme="0" tint="-0.34998626667073579"/>
      </left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dashed">
        <color theme="0" tint="-0.14996795556505021"/>
      </right>
      <top/>
      <bottom style="medium">
        <color indexed="64"/>
      </bottom>
      <diagonal/>
    </border>
    <border>
      <left style="dashed">
        <color theme="0" tint="-0.14996795556505021"/>
      </left>
      <right style="medium">
        <color theme="0" tint="-0.34998626667073579"/>
      </right>
      <top/>
      <bottom style="medium">
        <color indexed="64"/>
      </bottom>
      <diagonal/>
    </border>
    <border>
      <left style="dashed">
        <color theme="0" tint="-0.14996795556505021"/>
      </left>
      <right/>
      <top style="medium">
        <color indexed="64"/>
      </top>
      <bottom/>
      <diagonal/>
    </border>
    <border>
      <left/>
      <right style="dashed">
        <color theme="0" tint="-0.14996795556505021"/>
      </right>
      <top style="medium">
        <color indexed="64"/>
      </top>
      <bottom/>
      <diagonal/>
    </border>
    <border>
      <left style="dashed">
        <color theme="0" tint="-0.14996795556505021"/>
      </left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 style="dashed">
        <color theme="0" tint="-0.14996795556505021"/>
      </right>
      <top style="thin">
        <color indexed="64"/>
      </top>
      <bottom/>
      <diagonal/>
    </border>
    <border>
      <left style="dashed">
        <color theme="0" tint="-0.14996795556505021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medium">
        <color theme="0" tint="-0.499984740745262"/>
      </right>
      <top/>
      <bottom style="medium">
        <color indexed="64"/>
      </bottom>
      <diagonal/>
    </border>
    <border>
      <left style="medium">
        <color theme="0" tint="-0.499984740745262"/>
      </left>
      <right style="dashed">
        <color theme="0" tint="-0.14996795556505021"/>
      </right>
      <top/>
      <bottom style="medium">
        <color indexed="64"/>
      </bottom>
      <diagonal/>
    </border>
    <border>
      <left style="medium">
        <color theme="0" tint="-0.499984740745262"/>
      </left>
      <right style="dashed">
        <color theme="0" tint="-0.14996795556505021"/>
      </right>
      <top style="medium">
        <color indexed="64"/>
      </top>
      <bottom/>
      <diagonal/>
    </border>
    <border>
      <left style="dashed">
        <color theme="0" tint="-0.14996795556505021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 style="dashed">
        <color theme="0" tint="-0.14996795556505021"/>
      </right>
      <top/>
      <bottom style="thin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thin">
        <color indexed="64"/>
      </bottom>
      <diagonal/>
    </border>
    <border>
      <left style="dashed">
        <color theme="0" tint="-0.14996795556505021"/>
      </left>
      <right style="medium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 style="dashed">
        <color theme="0" tint="-0.14996795556505021"/>
      </right>
      <top/>
      <bottom style="thin">
        <color indexed="64"/>
      </bottom>
      <diagonal/>
    </border>
    <border>
      <left style="dashed">
        <color theme="0" tint="-0.14996795556505021"/>
      </left>
      <right/>
      <top/>
      <bottom style="thin">
        <color indexed="64"/>
      </bottom>
      <diagonal/>
    </border>
    <border>
      <left/>
      <right style="dashed">
        <color theme="0" tint="-0.14996795556505021"/>
      </right>
      <top/>
      <bottom style="thin">
        <color indexed="64"/>
      </bottom>
      <diagonal/>
    </border>
    <border>
      <left style="medium">
        <color theme="0" tint="-0.34998626667073579"/>
      </left>
      <right style="dashed">
        <color theme="0" tint="-0.14996795556505021"/>
      </right>
      <top/>
      <bottom style="thin">
        <color indexed="64"/>
      </bottom>
      <diagonal/>
    </border>
    <border>
      <left style="dashed">
        <color theme="0" tint="-0.14996795556505021"/>
      </left>
      <right style="medium">
        <color theme="0" tint="-0.34998626667073579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ed">
        <color theme="0" tint="-0.14996795556505021"/>
      </left>
      <right style="medium">
        <color indexed="64"/>
      </right>
      <top/>
      <bottom/>
      <diagonal/>
    </border>
    <border>
      <left style="dashed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ashed">
        <color theme="0" tint="-0.14996795556505021"/>
      </left>
      <right style="medium">
        <color indexed="64"/>
      </right>
      <top style="thin">
        <color indexed="64"/>
      </top>
      <bottom/>
      <diagonal/>
    </border>
    <border>
      <left style="dashed">
        <color theme="0" tint="-0.1499679555650502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dashed">
        <color theme="0" tint="-0.14996795556505021"/>
      </right>
      <top style="medium">
        <color indexed="64"/>
      </top>
      <bottom/>
      <diagonal/>
    </border>
    <border>
      <left style="dashed">
        <color theme="0" tint="-0.14996795556505021"/>
      </left>
      <right style="thin">
        <color indexed="64"/>
      </right>
      <top style="medium">
        <color indexed="64"/>
      </top>
      <bottom/>
      <diagonal/>
    </border>
    <border>
      <left style="dashed">
        <color theme="0" tint="-0.14996795556505021"/>
      </left>
      <right style="thin">
        <color theme="1"/>
      </right>
      <top/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medium">
        <color theme="1" tint="4.9989318521683403E-2"/>
      </bottom>
      <diagonal/>
    </border>
    <border>
      <left style="medium">
        <color theme="0" tint="-0.499984740745262"/>
      </left>
      <right style="dashed">
        <color theme="0" tint="-0.14996795556505021"/>
      </right>
      <top/>
      <bottom style="medium">
        <color theme="1" tint="4.9989318521683403E-2"/>
      </bottom>
      <diagonal/>
    </border>
    <border>
      <left/>
      <right style="medium">
        <color theme="0" tint="-0.499984740745262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dashed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medium">
        <color indexed="64"/>
      </top>
      <bottom style="thin">
        <color indexed="64"/>
      </bottom>
      <diagonal/>
    </border>
    <border>
      <left/>
      <right style="dashed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dashed">
        <color theme="0" tint="-0.14996795556505021"/>
      </left>
      <right/>
      <top style="medium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medium">
        <color theme="0" tint="-0.499984740745262"/>
      </right>
      <top style="medium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dashed">
        <color theme="0" tint="-0.14996795556505021"/>
      </right>
      <top style="thin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dashed">
        <color theme="0" tint="-0.14996795556505021"/>
      </right>
      <top style="thin">
        <color indexed="64"/>
      </top>
      <bottom style="thin">
        <color indexed="64"/>
      </bottom>
      <diagonal/>
    </border>
    <border>
      <left style="dashed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/>
      <bottom/>
      <diagonal/>
    </border>
    <border>
      <left style="dashed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dashed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 style="dashed">
        <color theme="0" tint="-0.14996795556505021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8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2" fillId="0" borderId="0"/>
  </cellStyleXfs>
  <cellXfs count="30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0" fillId="3" borderId="3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3" borderId="9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37" xfId="0" applyFill="1" applyBorder="1"/>
    <xf numFmtId="0" fontId="0" fillId="3" borderId="10" xfId="0" applyFill="1" applyBorder="1"/>
    <xf numFmtId="0" fontId="0" fillId="3" borderId="31" xfId="0" applyFill="1" applyBorder="1"/>
    <xf numFmtId="10" fontId="4" fillId="0" borderId="0" xfId="1" applyNumberFormat="1" applyFont="1"/>
    <xf numFmtId="0" fontId="4" fillId="0" borderId="0" xfId="0" applyFont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3" borderId="41" xfId="0" applyFill="1" applyBorder="1"/>
    <xf numFmtId="0" fontId="0" fillId="3" borderId="15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43" xfId="0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3" borderId="52" xfId="0" applyFill="1" applyBorder="1"/>
    <xf numFmtId="0" fontId="0" fillId="3" borderId="53" xfId="0" applyFill="1" applyBorder="1"/>
    <xf numFmtId="0" fontId="0" fillId="3" borderId="73" xfId="0" applyFill="1" applyBorder="1"/>
    <xf numFmtId="0" fontId="0" fillId="3" borderId="50" xfId="0" applyFill="1" applyBorder="1"/>
    <xf numFmtId="0" fontId="0" fillId="3" borderId="51" xfId="0" applyFill="1" applyBorder="1"/>
    <xf numFmtId="0" fontId="0" fillId="3" borderId="71" xfId="0" applyFill="1" applyBorder="1"/>
    <xf numFmtId="0" fontId="0" fillId="0" borderId="80" xfId="0" applyBorder="1"/>
    <xf numFmtId="0" fontId="0" fillId="3" borderId="74" xfId="0" applyFill="1" applyBorder="1"/>
    <xf numFmtId="0" fontId="0" fillId="3" borderId="72" xfId="0" applyFill="1" applyBorder="1"/>
    <xf numFmtId="0" fontId="0" fillId="3" borderId="58" xfId="0" applyFill="1" applyBorder="1"/>
    <xf numFmtId="0" fontId="0" fillId="3" borderId="57" xfId="0" applyFill="1" applyBorder="1"/>
    <xf numFmtId="0" fontId="0" fillId="3" borderId="61" xfId="0" applyFill="1" applyBorder="1"/>
    <xf numFmtId="0" fontId="0" fillId="3" borderId="60" xfId="0" applyFill="1" applyBorder="1"/>
    <xf numFmtId="0" fontId="0" fillId="3" borderId="65" xfId="0" applyFill="1" applyBorder="1"/>
    <xf numFmtId="0" fontId="0" fillId="3" borderId="66" xfId="0" applyFill="1" applyBorder="1"/>
    <xf numFmtId="0" fontId="0" fillId="3" borderId="63" xfId="0" applyFill="1" applyBorder="1"/>
    <xf numFmtId="0" fontId="0" fillId="3" borderId="64" xfId="0" applyFill="1" applyBorder="1"/>
    <xf numFmtId="0" fontId="1" fillId="0" borderId="7" xfId="0" applyFont="1" applyBorder="1" applyAlignment="1">
      <alignment horizontal="left" vertical="center"/>
    </xf>
    <xf numFmtId="0" fontId="0" fillId="0" borderId="79" xfId="0" applyBorder="1"/>
    <xf numFmtId="0" fontId="0" fillId="0" borderId="83" xfId="0" applyBorder="1"/>
    <xf numFmtId="0" fontId="0" fillId="0" borderId="85" xfId="0" applyBorder="1"/>
    <xf numFmtId="0" fontId="0" fillId="0" borderId="86" xfId="0" applyBorder="1"/>
    <xf numFmtId="0" fontId="0" fillId="0" borderId="84" xfId="0" applyBorder="1"/>
    <xf numFmtId="0" fontId="0" fillId="0" borderId="81" xfId="0" applyBorder="1"/>
    <xf numFmtId="0" fontId="0" fillId="0" borderId="82" xfId="0" applyBorder="1"/>
    <xf numFmtId="0" fontId="0" fillId="3" borderId="48" xfId="0" applyFill="1" applyBorder="1" applyAlignment="1">
      <alignment horizontal="left" vertical="center" wrapText="1"/>
    </xf>
    <xf numFmtId="0" fontId="0" fillId="0" borderId="13" xfId="0" applyBorder="1"/>
    <xf numFmtId="0" fontId="0" fillId="0" borderId="6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11" fillId="2" borderId="12" xfId="0" applyFont="1" applyFill="1" applyBorder="1" applyAlignment="1">
      <alignment horizontal="center" vertical="center"/>
    </xf>
    <xf numFmtId="0" fontId="0" fillId="0" borderId="94" xfId="0" applyBorder="1"/>
    <xf numFmtId="0" fontId="0" fillId="0" borderId="95" xfId="0" applyBorder="1"/>
    <xf numFmtId="0" fontId="1" fillId="3" borderId="20" xfId="0" applyFont="1" applyFill="1" applyBorder="1" applyAlignment="1">
      <alignment horizontal="center" vertical="center"/>
    </xf>
    <xf numFmtId="0" fontId="0" fillId="3" borderId="27" xfId="0" applyFill="1" applyBorder="1"/>
    <xf numFmtId="0" fontId="0" fillId="3" borderId="28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4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9" xfId="0" applyFill="1" applyBorder="1"/>
    <xf numFmtId="0" fontId="0" fillId="3" borderId="67" xfId="0" applyFill="1" applyBorder="1"/>
    <xf numFmtId="0" fontId="0" fillId="3" borderId="68" xfId="0" applyFill="1" applyBorder="1"/>
    <xf numFmtId="0" fontId="0" fillId="3" borderId="62" xfId="0" applyFill="1" applyBorder="1"/>
    <xf numFmtId="0" fontId="0" fillId="3" borderId="75" xfId="0" applyFill="1" applyBorder="1"/>
    <xf numFmtId="0" fontId="0" fillId="3" borderId="76" xfId="0" applyFill="1" applyBorder="1"/>
    <xf numFmtId="0" fontId="9" fillId="3" borderId="61" xfId="0" applyFont="1" applyFill="1" applyBorder="1"/>
    <xf numFmtId="0" fontId="1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/>
    <xf numFmtId="0" fontId="1" fillId="0" borderId="6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0" fillId="3" borderId="80" xfId="0" applyFill="1" applyBorder="1"/>
    <xf numFmtId="0" fontId="0" fillId="3" borderId="82" xfId="0" applyFill="1" applyBorder="1"/>
    <xf numFmtId="0" fontId="0" fillId="3" borderId="83" xfId="0" applyFill="1" applyBorder="1"/>
    <xf numFmtId="0" fontId="0" fillId="3" borderId="84" xfId="0" applyFill="1" applyBorder="1"/>
    <xf numFmtId="0" fontId="0" fillId="0" borderId="99" xfId="0" applyBorder="1"/>
    <xf numFmtId="0" fontId="0" fillId="0" borderId="101" xfId="0" applyBorder="1"/>
    <xf numFmtId="0" fontId="1" fillId="0" borderId="24" xfId="0" applyFont="1" applyBorder="1" applyAlignment="1">
      <alignment horizontal="left" vertical="top" wrapText="1"/>
    </xf>
    <xf numFmtId="0" fontId="0" fillId="0" borderId="102" xfId="0" applyBorder="1"/>
    <xf numFmtId="0" fontId="1" fillId="0" borderId="13" xfId="0" applyFont="1" applyBorder="1" applyAlignment="1">
      <alignment horizontal="left" vertical="top" wrapText="1"/>
    </xf>
    <xf numFmtId="0" fontId="0" fillId="0" borderId="103" xfId="0" applyBorder="1"/>
    <xf numFmtId="0" fontId="0" fillId="0" borderId="104" xfId="0" applyBorder="1"/>
    <xf numFmtId="0" fontId="0" fillId="3" borderId="81" xfId="0" applyFill="1" applyBorder="1"/>
    <xf numFmtId="0" fontId="1" fillId="0" borderId="6" xfId="0" applyFont="1" applyBorder="1" applyAlignment="1">
      <alignment vertical="top" wrapText="1"/>
    </xf>
    <xf numFmtId="0" fontId="1" fillId="0" borderId="105" xfId="0" applyFont="1" applyBorder="1" applyAlignment="1">
      <alignment vertical="top" wrapText="1"/>
    </xf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15" fillId="0" borderId="106" xfId="0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" fillId="0" borderId="113" xfId="0" applyFont="1" applyBorder="1" applyAlignment="1">
      <alignment vertical="top" wrapText="1"/>
    </xf>
    <xf numFmtId="0" fontId="1" fillId="0" borderId="114" xfId="0" applyFont="1" applyBorder="1" applyAlignment="1">
      <alignment vertical="top" wrapText="1"/>
    </xf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24" fillId="5" borderId="3" xfId="0" applyFont="1" applyFill="1" applyBorder="1" applyAlignment="1">
      <alignment vertical="center" textRotation="90"/>
    </xf>
    <xf numFmtId="0" fontId="24" fillId="5" borderId="0" xfId="0" applyFont="1" applyFill="1" applyAlignment="1">
      <alignment vertical="center" textRotation="90"/>
    </xf>
    <xf numFmtId="0" fontId="15" fillId="0" borderId="122" xfId="0" applyFont="1" applyBorder="1" applyAlignment="1">
      <alignment horizontal="center" vertical="center" wrapText="1"/>
    </xf>
    <xf numFmtId="0" fontId="0" fillId="0" borderId="124" xfId="0" applyBorder="1"/>
    <xf numFmtId="0" fontId="1" fillId="0" borderId="122" xfId="0" applyFont="1" applyBorder="1" applyAlignment="1">
      <alignment vertical="top" wrapText="1"/>
    </xf>
    <xf numFmtId="0" fontId="0" fillId="0" borderId="126" xfId="0" applyBorder="1"/>
    <xf numFmtId="0" fontId="1" fillId="0" borderId="125" xfId="0" applyFont="1" applyBorder="1" applyAlignment="1">
      <alignment vertical="top" wrapText="1"/>
    </xf>
    <xf numFmtId="0" fontId="0" fillId="0" borderId="127" xfId="0" applyBorder="1"/>
    <xf numFmtId="0" fontId="1" fillId="0" borderId="14" xfId="0" applyFont="1" applyBorder="1" applyAlignment="1">
      <alignment horizontal="center" vertical="center" wrapText="1"/>
    </xf>
    <xf numFmtId="0" fontId="1" fillId="0" borderId="121" xfId="0" applyFont="1" applyBorder="1" applyAlignment="1">
      <alignment vertical="center" wrapText="1"/>
    </xf>
    <xf numFmtId="0" fontId="24" fillId="5" borderId="8" xfId="0" applyFont="1" applyFill="1" applyBorder="1" applyAlignment="1">
      <alignment vertical="center" textRotation="90"/>
    </xf>
    <xf numFmtId="0" fontId="1" fillId="0" borderId="12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0" borderId="128" xfId="0" applyFont="1" applyBorder="1" applyAlignment="1">
      <alignment vertical="top" wrapText="1"/>
    </xf>
    <xf numFmtId="0" fontId="1" fillId="0" borderId="89" xfId="0" applyFont="1" applyBorder="1" applyAlignment="1">
      <alignment horizontal="left" vertical="top" wrapText="1"/>
    </xf>
    <xf numFmtId="0" fontId="1" fillId="0" borderId="100" xfId="0" applyFont="1" applyBorder="1" applyAlignment="1">
      <alignment horizontal="left" vertical="top" wrapText="1"/>
    </xf>
    <xf numFmtId="0" fontId="0" fillId="0" borderId="129" xfId="0" applyBorder="1"/>
    <xf numFmtId="0" fontId="0" fillId="0" borderId="12" xfId="0" applyBorder="1"/>
    <xf numFmtId="0" fontId="1" fillId="3" borderId="5" xfId="0" applyFont="1" applyFill="1" applyBorder="1" applyAlignment="1">
      <alignment horizontal="center" vertical="center"/>
    </xf>
    <xf numFmtId="0" fontId="0" fillId="0" borderId="73" xfId="0" applyBorder="1" applyAlignment="1">
      <alignment horizontal="center"/>
    </xf>
    <xf numFmtId="0" fontId="0" fillId="3" borderId="0" xfId="0" applyFill="1"/>
    <xf numFmtId="0" fontId="1" fillId="3" borderId="1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1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42" xfId="0" applyFill="1" applyBorder="1"/>
    <xf numFmtId="0" fontId="0" fillId="3" borderId="79" xfId="0" applyFill="1" applyBorder="1"/>
    <xf numFmtId="0" fontId="0" fillId="3" borderId="85" xfId="0" applyFill="1" applyBorder="1"/>
    <xf numFmtId="0" fontId="0" fillId="3" borderId="86" xfId="0" applyFill="1" applyBorder="1"/>
    <xf numFmtId="0" fontId="1" fillId="3" borderId="14" xfId="0" applyFont="1" applyFill="1" applyBorder="1" applyAlignment="1">
      <alignment horizontal="left" vertical="center" wrapText="1"/>
    </xf>
    <xf numFmtId="164" fontId="1" fillId="3" borderId="7" xfId="0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left" vertical="center" wrapText="1"/>
    </xf>
    <xf numFmtId="165" fontId="0" fillId="3" borderId="76" xfId="0" applyNumberFormat="1" applyFill="1" applyBorder="1"/>
    <xf numFmtId="0" fontId="1" fillId="2" borderId="45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93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11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center" vertical="center" wrapText="1"/>
    </xf>
    <xf numFmtId="0" fontId="0" fillId="3" borderId="7" xfId="0" quotePrefix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left" vertical="center" wrapText="1"/>
    </xf>
    <xf numFmtId="0" fontId="0" fillId="3" borderId="5" xfId="0" quotePrefix="1" applyFill="1" applyBorder="1" applyAlignment="1">
      <alignment horizontal="left" vertical="center" wrapText="1"/>
    </xf>
    <xf numFmtId="0" fontId="0" fillId="3" borderId="7" xfId="0" quotePrefix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7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0" fillId="0" borderId="7" xfId="0" quotePrefix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9" fillId="0" borderId="7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" fillId="7" borderId="45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/>
    </xf>
    <xf numFmtId="0" fontId="30" fillId="3" borderId="5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9" fillId="3" borderId="2" xfId="0" quotePrefix="1" applyFont="1" applyFill="1" applyBorder="1" applyAlignment="1">
      <alignment horizontal="left" vertical="center" wrapText="1"/>
    </xf>
    <xf numFmtId="0" fontId="9" fillId="3" borderId="5" xfId="0" quotePrefix="1" applyFont="1" applyFill="1" applyBorder="1" applyAlignment="1">
      <alignment horizontal="left" vertical="center" wrapText="1"/>
    </xf>
    <xf numFmtId="0" fontId="9" fillId="3" borderId="21" xfId="0" quotePrefix="1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center"/>
    </xf>
    <xf numFmtId="0" fontId="1" fillId="10" borderId="46" xfId="0" applyFont="1" applyFill="1" applyBorder="1" applyAlignment="1">
      <alignment horizontal="center" vertical="center" wrapText="1"/>
    </xf>
    <xf numFmtId="0" fontId="1" fillId="10" borderId="47" xfId="0" applyFont="1" applyFill="1" applyBorder="1" applyAlignment="1">
      <alignment horizontal="center" vertical="center" wrapText="1"/>
    </xf>
    <xf numFmtId="0" fontId="1" fillId="3" borderId="87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98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3" borderId="21" xfId="0" quotePrefix="1" applyFill="1" applyBorder="1" applyAlignment="1">
      <alignment horizontal="left" vertical="center" wrapText="1"/>
    </xf>
    <xf numFmtId="0" fontId="1" fillId="0" borderId="8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/>
    </xf>
    <xf numFmtId="0" fontId="9" fillId="3" borderId="20" xfId="0" quotePrefix="1" applyFont="1" applyFill="1" applyBorder="1" applyAlignment="1">
      <alignment horizontal="left" vertical="center" wrapText="1"/>
    </xf>
    <xf numFmtId="0" fontId="9" fillId="3" borderId="7" xfId="0" quotePrefix="1" applyFont="1" applyFill="1" applyBorder="1" applyAlignment="1">
      <alignment horizontal="left" vertical="center" wrapText="1"/>
    </xf>
    <xf numFmtId="0" fontId="0" fillId="3" borderId="1" xfId="0" quotePrefix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3" borderId="96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23" fillId="3" borderId="96" xfId="0" applyFont="1" applyFill="1" applyBorder="1" applyAlignment="1">
      <alignment horizontal="left" vertical="center" wrapText="1"/>
    </xf>
    <xf numFmtId="0" fontId="0" fillId="3" borderId="88" xfId="0" applyFill="1" applyBorder="1" applyAlignment="1">
      <alignment horizontal="left" vertical="center" wrapText="1"/>
    </xf>
    <xf numFmtId="0" fontId="1" fillId="3" borderId="88" xfId="0" applyFont="1" applyFill="1" applyBorder="1" applyAlignment="1">
      <alignment horizontal="left" vertical="center" wrapText="1"/>
    </xf>
    <xf numFmtId="0" fontId="1" fillId="3" borderId="97" xfId="0" applyFont="1" applyFill="1" applyBorder="1" applyAlignment="1">
      <alignment horizontal="left" vertical="center" wrapText="1"/>
    </xf>
    <xf numFmtId="0" fontId="0" fillId="3" borderId="97" xfId="0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3" fillId="4" borderId="13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24" fillId="5" borderId="1" xfId="0" applyFont="1" applyFill="1" applyBorder="1" applyAlignment="1">
      <alignment horizontal="center" vertical="center" textRotation="90"/>
    </xf>
    <xf numFmtId="0" fontId="15" fillId="0" borderId="8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3" fillId="4" borderId="24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left" vertical="top" wrapText="1"/>
    </xf>
    <xf numFmtId="0" fontId="24" fillId="8" borderId="1" xfId="0" applyFont="1" applyFill="1" applyBorder="1" applyAlignment="1">
      <alignment horizontal="center" vertical="center" textRotation="90" wrapText="1"/>
    </xf>
    <xf numFmtId="0" fontId="16" fillId="0" borderId="5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123" xfId="0" applyFont="1" applyBorder="1" applyAlignment="1">
      <alignment horizontal="left" vertical="center" wrapText="1"/>
    </xf>
    <xf numFmtId="0" fontId="16" fillId="0" borderId="12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 wrapText="1"/>
    </xf>
    <xf numFmtId="0" fontId="11" fillId="0" borderId="8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textRotation="90"/>
    </xf>
    <xf numFmtId="0" fontId="24" fillId="5" borderId="0" xfId="0" applyFont="1" applyFill="1" applyAlignment="1">
      <alignment horizontal="center" vertical="center" textRotation="90"/>
    </xf>
    <xf numFmtId="0" fontId="24" fillId="9" borderId="90" xfId="0" applyFont="1" applyFill="1" applyBorder="1" applyAlignment="1">
      <alignment horizontal="center" vertical="center" textRotation="90"/>
    </xf>
    <xf numFmtId="0" fontId="24" fillId="9" borderId="27" xfId="0" applyFont="1" applyFill="1" applyBorder="1" applyAlignment="1">
      <alignment horizontal="center" vertical="center" textRotation="90"/>
    </xf>
  </cellXfs>
  <cellStyles count="8">
    <cellStyle name="Moeda 2" xfId="4" xr:uid="{E71B7800-B473-4C43-9226-B3066D7D4B55}"/>
    <cellStyle name="Normal" xfId="0" builtinId="0"/>
    <cellStyle name="Normal 2" xfId="2" xr:uid="{4EE7D1FD-41EA-4F58-97C4-81AD37838EA6}"/>
    <cellStyle name="Normal 2 2" xfId="6" xr:uid="{4E3830ED-7148-4382-947B-EAE451A39A87}"/>
    <cellStyle name="Normal 2 3" xfId="7" xr:uid="{5DD5895B-F42A-40FF-AC51-8CD4AA2D03D7}"/>
    <cellStyle name="Normal 3" xfId="3" xr:uid="{2CD7658D-88AC-4FAA-A593-F3DA877E4A38}"/>
    <cellStyle name="Porcentagem" xfId="1" builtinId="5"/>
    <cellStyle name="Vírgula 2" xfId="5" xr:uid="{1FA24815-1EED-4719-9AF0-774D1FAC01A2}"/>
  </cellStyles>
  <dxfs count="0"/>
  <tableStyles count="0" defaultTableStyle="TableStyleMedium2" defaultPivotStyle="PivotStyleLight16"/>
  <colors>
    <mruColors>
      <color rgb="FFDDDDDD"/>
      <color rgb="FFFFCC00"/>
      <color rgb="FFF3F3F3"/>
      <color rgb="FFC0C0C0"/>
      <color rgb="FFEAEAEA"/>
      <color rgb="FFF8F8F8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194770</xdr:colOff>
      <xdr:row>0</xdr:row>
      <xdr:rowOff>32046</xdr:rowOff>
    </xdr:from>
    <xdr:ext cx="3306161" cy="405432"/>
    <xdr:sp macro="" textlink="">
      <xdr:nvSpPr>
        <xdr:cNvPr id="3138" name="CaixaDeTexto 3137">
          <a:extLst>
            <a:ext uri="{FF2B5EF4-FFF2-40B4-BE49-F238E27FC236}">
              <a16:creationId xmlns:a16="http://schemas.microsoft.com/office/drawing/2014/main" id="{534AF403-21B7-889A-3205-21C9D7B6621F}"/>
            </a:ext>
          </a:extLst>
        </xdr:cNvPr>
        <xdr:cNvSpPr txBox="1"/>
      </xdr:nvSpPr>
      <xdr:spPr>
        <a:xfrm>
          <a:off x="5881195" y="32046"/>
          <a:ext cx="33061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b="1"/>
            <a:t>IT Commercial project status </a:t>
          </a:r>
        </a:p>
      </xdr:txBody>
    </xdr:sp>
    <xdr:clientData/>
  </xdr:oneCellAnchor>
  <xdr:twoCellAnchor>
    <xdr:from>
      <xdr:col>0</xdr:col>
      <xdr:colOff>0</xdr:colOff>
      <xdr:row>2</xdr:row>
      <xdr:rowOff>89652</xdr:rowOff>
    </xdr:from>
    <xdr:to>
      <xdr:col>92</xdr:col>
      <xdr:colOff>291353</xdr:colOff>
      <xdr:row>2</xdr:row>
      <xdr:rowOff>89652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3E143824-1EC6-4FAE-95D2-DCB21CC29385}"/>
            </a:ext>
          </a:extLst>
        </xdr:cNvPr>
        <xdr:cNvCxnSpPr/>
      </xdr:nvCxnSpPr>
      <xdr:spPr>
        <a:xfrm>
          <a:off x="0" y="470652"/>
          <a:ext cx="28182794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118412</xdr:colOff>
      <xdr:row>5</xdr:row>
      <xdr:rowOff>0</xdr:rowOff>
    </xdr:from>
    <xdr:ext cx="184731" cy="280205"/>
    <xdr:sp macro="" textlink="">
      <xdr:nvSpPr>
        <xdr:cNvPr id="3411" name="CaixaDeTexto 3410">
          <a:extLst>
            <a:ext uri="{FF2B5EF4-FFF2-40B4-BE49-F238E27FC236}">
              <a16:creationId xmlns:a16="http://schemas.microsoft.com/office/drawing/2014/main" id="{FB77FF80-5A6B-4783-9A81-46836062D8D6}"/>
            </a:ext>
          </a:extLst>
        </xdr:cNvPr>
        <xdr:cNvSpPr txBox="1"/>
      </xdr:nvSpPr>
      <xdr:spPr>
        <a:xfrm>
          <a:off x="13621500" y="14663457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5</xdr:row>
      <xdr:rowOff>0</xdr:rowOff>
    </xdr:from>
    <xdr:ext cx="184731" cy="280205"/>
    <xdr:sp macro="" textlink="">
      <xdr:nvSpPr>
        <xdr:cNvPr id="3412" name="CaixaDeTexto 3411">
          <a:extLst>
            <a:ext uri="{FF2B5EF4-FFF2-40B4-BE49-F238E27FC236}">
              <a16:creationId xmlns:a16="http://schemas.microsoft.com/office/drawing/2014/main" id="{D4E0FE98-7A94-4E09-AEB9-C2B1E2962A3B}"/>
            </a:ext>
          </a:extLst>
        </xdr:cNvPr>
        <xdr:cNvSpPr txBox="1"/>
      </xdr:nvSpPr>
      <xdr:spPr>
        <a:xfrm>
          <a:off x="13621500" y="14663457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5</xdr:row>
      <xdr:rowOff>0</xdr:rowOff>
    </xdr:from>
    <xdr:ext cx="184731" cy="280205"/>
    <xdr:sp macro="" textlink="">
      <xdr:nvSpPr>
        <xdr:cNvPr id="3414" name="CaixaDeTexto 3413">
          <a:extLst>
            <a:ext uri="{FF2B5EF4-FFF2-40B4-BE49-F238E27FC236}">
              <a16:creationId xmlns:a16="http://schemas.microsoft.com/office/drawing/2014/main" id="{8995F798-D43D-49C3-B480-F3A226CFAA6B}"/>
            </a:ext>
          </a:extLst>
        </xdr:cNvPr>
        <xdr:cNvSpPr txBox="1"/>
      </xdr:nvSpPr>
      <xdr:spPr>
        <a:xfrm>
          <a:off x="13621500" y="1444438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5</xdr:row>
      <xdr:rowOff>0</xdr:rowOff>
    </xdr:from>
    <xdr:ext cx="184731" cy="280205"/>
    <xdr:sp macro="" textlink="">
      <xdr:nvSpPr>
        <xdr:cNvPr id="3415" name="CaixaDeTexto 3414">
          <a:extLst>
            <a:ext uri="{FF2B5EF4-FFF2-40B4-BE49-F238E27FC236}">
              <a16:creationId xmlns:a16="http://schemas.microsoft.com/office/drawing/2014/main" id="{4721AD7D-B481-402D-8435-F9F01928AD0C}"/>
            </a:ext>
          </a:extLst>
        </xdr:cNvPr>
        <xdr:cNvSpPr txBox="1"/>
      </xdr:nvSpPr>
      <xdr:spPr>
        <a:xfrm>
          <a:off x="13621500" y="1444438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197" name="CaixaDeTexto 3196">
          <a:extLst>
            <a:ext uri="{FF2B5EF4-FFF2-40B4-BE49-F238E27FC236}">
              <a16:creationId xmlns:a16="http://schemas.microsoft.com/office/drawing/2014/main" id="{DF0C8EB1-FD1C-4268-AE89-CE447FC842D2}"/>
            </a:ext>
          </a:extLst>
        </xdr:cNvPr>
        <xdr:cNvSpPr txBox="1"/>
      </xdr:nvSpPr>
      <xdr:spPr>
        <a:xfrm>
          <a:off x="16801169" y="9620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265" name="CaixaDeTexto 3264">
          <a:extLst>
            <a:ext uri="{FF2B5EF4-FFF2-40B4-BE49-F238E27FC236}">
              <a16:creationId xmlns:a16="http://schemas.microsoft.com/office/drawing/2014/main" id="{F8400EDB-59E5-4733-BFF1-4333CB02A743}"/>
            </a:ext>
          </a:extLst>
        </xdr:cNvPr>
        <xdr:cNvSpPr txBox="1"/>
      </xdr:nvSpPr>
      <xdr:spPr>
        <a:xfrm>
          <a:off x="16801169" y="9620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69</xdr:col>
      <xdr:colOff>160943</xdr:colOff>
      <xdr:row>26</xdr:row>
      <xdr:rowOff>269024</xdr:rowOff>
    </xdr:from>
    <xdr:to>
      <xdr:col>74</xdr:col>
      <xdr:colOff>281318</xdr:colOff>
      <xdr:row>26</xdr:row>
      <xdr:rowOff>477925</xdr:rowOff>
    </xdr:to>
    <xdr:sp macro="" textlink="">
      <xdr:nvSpPr>
        <xdr:cNvPr id="3484" name="Retângulo 3483">
          <a:extLst>
            <a:ext uri="{FF2B5EF4-FFF2-40B4-BE49-F238E27FC236}">
              <a16:creationId xmlns:a16="http://schemas.microsoft.com/office/drawing/2014/main" id="{31A91417-E2B9-4194-A180-783E320A4DD0}"/>
            </a:ext>
          </a:extLst>
        </xdr:cNvPr>
        <xdr:cNvSpPr/>
      </xdr:nvSpPr>
      <xdr:spPr>
        <a:xfrm>
          <a:off x="33027796" y="17806230"/>
          <a:ext cx="1689198" cy="2089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7</xdr:col>
      <xdr:colOff>0</xdr:colOff>
      <xdr:row>6</xdr:row>
      <xdr:rowOff>148556</xdr:rowOff>
    </xdr:from>
    <xdr:to>
      <xdr:col>79</xdr:col>
      <xdr:colOff>0</xdr:colOff>
      <xdr:row>7</xdr:row>
      <xdr:rowOff>136837</xdr:rowOff>
    </xdr:to>
    <xdr:sp macro="" textlink="">
      <xdr:nvSpPr>
        <xdr:cNvPr id="3235" name="Retângulo 3234">
          <a:extLst>
            <a:ext uri="{FF2B5EF4-FFF2-40B4-BE49-F238E27FC236}">
              <a16:creationId xmlns:a16="http://schemas.microsoft.com/office/drawing/2014/main" id="{14620C23-44D2-4D90-91C0-04BBC448AA75}"/>
            </a:ext>
          </a:extLst>
        </xdr:cNvPr>
        <xdr:cNvSpPr/>
      </xdr:nvSpPr>
      <xdr:spPr>
        <a:xfrm>
          <a:off x="13404273" y="10747283"/>
          <a:ext cx="1246909" cy="21341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oneCellAnchor>
    <xdr:from>
      <xdr:col>59</xdr:col>
      <xdr:colOff>243360</xdr:colOff>
      <xdr:row>5</xdr:row>
      <xdr:rowOff>0</xdr:rowOff>
    </xdr:from>
    <xdr:ext cx="184731" cy="280205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8E338E90-AA7B-4FFC-80C1-1AC97A6AB941}"/>
            </a:ext>
          </a:extLst>
        </xdr:cNvPr>
        <xdr:cNvSpPr txBox="1"/>
      </xdr:nvSpPr>
      <xdr:spPr>
        <a:xfrm>
          <a:off x="16864485" y="481774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59</xdr:col>
      <xdr:colOff>243360</xdr:colOff>
      <xdr:row>5</xdr:row>
      <xdr:rowOff>0</xdr:rowOff>
    </xdr:from>
    <xdr:ext cx="184731" cy="280205"/>
    <xdr:sp macro="" textlink="">
      <xdr:nvSpPr>
        <xdr:cNvPr id="3171" name="CaixaDeTexto 3170">
          <a:extLst>
            <a:ext uri="{FF2B5EF4-FFF2-40B4-BE49-F238E27FC236}">
              <a16:creationId xmlns:a16="http://schemas.microsoft.com/office/drawing/2014/main" id="{99520B9E-C4DE-4694-8EC0-E90D86FA835F}"/>
            </a:ext>
          </a:extLst>
        </xdr:cNvPr>
        <xdr:cNvSpPr txBox="1"/>
      </xdr:nvSpPr>
      <xdr:spPr>
        <a:xfrm>
          <a:off x="16864485" y="481774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298" name="CaixaDeTexto 3297">
          <a:extLst>
            <a:ext uri="{FF2B5EF4-FFF2-40B4-BE49-F238E27FC236}">
              <a16:creationId xmlns:a16="http://schemas.microsoft.com/office/drawing/2014/main" id="{C42178A5-9C87-49DD-BB30-44F2026CD45C}"/>
            </a:ext>
          </a:extLst>
        </xdr:cNvPr>
        <xdr:cNvSpPr txBox="1"/>
      </xdr:nvSpPr>
      <xdr:spPr>
        <a:xfrm>
          <a:off x="14819969" y="490728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5</xdr:row>
      <xdr:rowOff>0</xdr:rowOff>
    </xdr:from>
    <xdr:ext cx="184731" cy="280205"/>
    <xdr:sp macro="" textlink="">
      <xdr:nvSpPr>
        <xdr:cNvPr id="3300" name="CaixaDeTexto 3299">
          <a:extLst>
            <a:ext uri="{FF2B5EF4-FFF2-40B4-BE49-F238E27FC236}">
              <a16:creationId xmlns:a16="http://schemas.microsoft.com/office/drawing/2014/main" id="{41DCA8ED-2EBC-4709-9FEE-DC3CA82FCCD7}"/>
            </a:ext>
          </a:extLst>
        </xdr:cNvPr>
        <xdr:cNvSpPr txBox="1"/>
      </xdr:nvSpPr>
      <xdr:spPr>
        <a:xfrm>
          <a:off x="16369185" y="490728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5</xdr:row>
      <xdr:rowOff>0</xdr:rowOff>
    </xdr:from>
    <xdr:ext cx="184731" cy="280205"/>
    <xdr:sp macro="" textlink="">
      <xdr:nvSpPr>
        <xdr:cNvPr id="3306" name="CaixaDeTexto 3305">
          <a:extLst>
            <a:ext uri="{FF2B5EF4-FFF2-40B4-BE49-F238E27FC236}">
              <a16:creationId xmlns:a16="http://schemas.microsoft.com/office/drawing/2014/main" id="{B1CBA15C-78EC-4CA3-A687-91E9C710B436}"/>
            </a:ext>
          </a:extLst>
        </xdr:cNvPr>
        <xdr:cNvSpPr txBox="1"/>
      </xdr:nvSpPr>
      <xdr:spPr>
        <a:xfrm>
          <a:off x="16369185" y="490728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141944</xdr:colOff>
      <xdr:row>5</xdr:row>
      <xdr:rowOff>0</xdr:rowOff>
    </xdr:from>
    <xdr:ext cx="184731" cy="280205"/>
    <xdr:sp macro="" textlink="">
      <xdr:nvSpPr>
        <xdr:cNvPr id="3328" name="CaixaDeTexto 3327">
          <a:extLst>
            <a:ext uri="{FF2B5EF4-FFF2-40B4-BE49-F238E27FC236}">
              <a16:creationId xmlns:a16="http://schemas.microsoft.com/office/drawing/2014/main" id="{0A836F22-8917-445E-8997-DEE40C811FB7}"/>
            </a:ext>
          </a:extLst>
        </xdr:cNvPr>
        <xdr:cNvSpPr txBox="1"/>
      </xdr:nvSpPr>
      <xdr:spPr>
        <a:xfrm>
          <a:off x="16448744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329" name="CaixaDeTexto 3328">
          <a:extLst>
            <a:ext uri="{FF2B5EF4-FFF2-40B4-BE49-F238E27FC236}">
              <a16:creationId xmlns:a16="http://schemas.microsoft.com/office/drawing/2014/main" id="{35811E29-11EF-46C2-9D97-A228A7948E40}"/>
            </a:ext>
          </a:extLst>
        </xdr:cNvPr>
        <xdr:cNvSpPr txBox="1"/>
      </xdr:nvSpPr>
      <xdr:spPr>
        <a:xfrm>
          <a:off x="180203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330" name="CaixaDeTexto 3329">
          <a:extLst>
            <a:ext uri="{FF2B5EF4-FFF2-40B4-BE49-F238E27FC236}">
              <a16:creationId xmlns:a16="http://schemas.microsoft.com/office/drawing/2014/main" id="{F5012508-6BEB-4FC1-8A98-FD85B220A3BF}"/>
            </a:ext>
          </a:extLst>
        </xdr:cNvPr>
        <xdr:cNvSpPr txBox="1"/>
      </xdr:nvSpPr>
      <xdr:spPr>
        <a:xfrm>
          <a:off x="180203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59" name="CaixaDeTexto 3358">
          <a:extLst>
            <a:ext uri="{FF2B5EF4-FFF2-40B4-BE49-F238E27FC236}">
              <a16:creationId xmlns:a16="http://schemas.microsoft.com/office/drawing/2014/main" id="{3D3BDCB2-A2C9-4FF6-B3D8-26A31409E83A}"/>
            </a:ext>
          </a:extLst>
        </xdr:cNvPr>
        <xdr:cNvSpPr txBox="1"/>
      </xdr:nvSpPr>
      <xdr:spPr>
        <a:xfrm>
          <a:off x="192776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60" name="CaixaDeTexto 3359">
          <a:extLst>
            <a:ext uri="{FF2B5EF4-FFF2-40B4-BE49-F238E27FC236}">
              <a16:creationId xmlns:a16="http://schemas.microsoft.com/office/drawing/2014/main" id="{776845BA-7506-4B07-8783-9FBC02F296E5}"/>
            </a:ext>
          </a:extLst>
        </xdr:cNvPr>
        <xdr:cNvSpPr txBox="1"/>
      </xdr:nvSpPr>
      <xdr:spPr>
        <a:xfrm>
          <a:off x="192776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369" name="CaixaDeTexto 3368">
          <a:extLst>
            <a:ext uri="{FF2B5EF4-FFF2-40B4-BE49-F238E27FC236}">
              <a16:creationId xmlns:a16="http://schemas.microsoft.com/office/drawing/2014/main" id="{001843E1-DFA6-4BA5-9F3E-D8A273A4581D}"/>
            </a:ext>
          </a:extLst>
        </xdr:cNvPr>
        <xdr:cNvSpPr txBox="1"/>
      </xdr:nvSpPr>
      <xdr:spPr>
        <a:xfrm>
          <a:off x="205349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373" name="CaixaDeTexto 3372">
          <a:extLst>
            <a:ext uri="{FF2B5EF4-FFF2-40B4-BE49-F238E27FC236}">
              <a16:creationId xmlns:a16="http://schemas.microsoft.com/office/drawing/2014/main" id="{C74DD68D-163B-4959-A0DD-85C5B3913C80}"/>
            </a:ext>
          </a:extLst>
        </xdr:cNvPr>
        <xdr:cNvSpPr txBox="1"/>
      </xdr:nvSpPr>
      <xdr:spPr>
        <a:xfrm>
          <a:off x="205349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5</xdr:row>
      <xdr:rowOff>0</xdr:rowOff>
    </xdr:from>
    <xdr:ext cx="184731" cy="280205"/>
    <xdr:sp macro="" textlink="">
      <xdr:nvSpPr>
        <xdr:cNvPr id="3374" name="CaixaDeTexto 3373">
          <a:extLst>
            <a:ext uri="{FF2B5EF4-FFF2-40B4-BE49-F238E27FC236}">
              <a16:creationId xmlns:a16="http://schemas.microsoft.com/office/drawing/2014/main" id="{79B346D2-F772-4E22-9EF4-D8AF4D33F386}"/>
            </a:ext>
          </a:extLst>
        </xdr:cNvPr>
        <xdr:cNvSpPr txBox="1"/>
      </xdr:nvSpPr>
      <xdr:spPr>
        <a:xfrm>
          <a:off x="22106594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5</xdr:row>
      <xdr:rowOff>0</xdr:rowOff>
    </xdr:from>
    <xdr:ext cx="184731" cy="280205"/>
    <xdr:sp macro="" textlink="">
      <xdr:nvSpPr>
        <xdr:cNvPr id="3376" name="CaixaDeTexto 3375">
          <a:extLst>
            <a:ext uri="{FF2B5EF4-FFF2-40B4-BE49-F238E27FC236}">
              <a16:creationId xmlns:a16="http://schemas.microsoft.com/office/drawing/2014/main" id="{5FA12A99-C721-414C-93A0-54AC7066DCA7}"/>
            </a:ext>
          </a:extLst>
        </xdr:cNvPr>
        <xdr:cNvSpPr txBox="1"/>
      </xdr:nvSpPr>
      <xdr:spPr>
        <a:xfrm>
          <a:off x="22106594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377" name="CaixaDeTexto 3376">
          <a:extLst>
            <a:ext uri="{FF2B5EF4-FFF2-40B4-BE49-F238E27FC236}">
              <a16:creationId xmlns:a16="http://schemas.microsoft.com/office/drawing/2014/main" id="{9BD56485-3A60-4BE4-A736-2EB10935FA05}"/>
            </a:ext>
          </a:extLst>
        </xdr:cNvPr>
        <xdr:cNvSpPr txBox="1"/>
      </xdr:nvSpPr>
      <xdr:spPr>
        <a:xfrm>
          <a:off x="14819969" y="291655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5</xdr:row>
      <xdr:rowOff>0</xdr:rowOff>
    </xdr:from>
    <xdr:ext cx="184731" cy="280205"/>
    <xdr:sp macro="" textlink="">
      <xdr:nvSpPr>
        <xdr:cNvPr id="3378" name="CaixaDeTexto 3377">
          <a:extLst>
            <a:ext uri="{FF2B5EF4-FFF2-40B4-BE49-F238E27FC236}">
              <a16:creationId xmlns:a16="http://schemas.microsoft.com/office/drawing/2014/main" id="{28B46B36-FA6A-458E-B4A2-90C75185A7FE}"/>
            </a:ext>
          </a:extLst>
        </xdr:cNvPr>
        <xdr:cNvSpPr txBox="1"/>
      </xdr:nvSpPr>
      <xdr:spPr>
        <a:xfrm>
          <a:off x="16369185" y="291655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5</xdr:row>
      <xdr:rowOff>0</xdr:rowOff>
    </xdr:from>
    <xdr:ext cx="184731" cy="280205"/>
    <xdr:sp macro="" textlink="">
      <xdr:nvSpPr>
        <xdr:cNvPr id="3383" name="CaixaDeTexto 3382">
          <a:extLst>
            <a:ext uri="{FF2B5EF4-FFF2-40B4-BE49-F238E27FC236}">
              <a16:creationId xmlns:a16="http://schemas.microsoft.com/office/drawing/2014/main" id="{B99BA5A2-AD1A-4DFC-8874-443D5D1B8617}"/>
            </a:ext>
          </a:extLst>
        </xdr:cNvPr>
        <xdr:cNvSpPr txBox="1"/>
      </xdr:nvSpPr>
      <xdr:spPr>
        <a:xfrm>
          <a:off x="16369185" y="291655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86" name="CaixaDeTexto 3385">
          <a:extLst>
            <a:ext uri="{FF2B5EF4-FFF2-40B4-BE49-F238E27FC236}">
              <a16:creationId xmlns:a16="http://schemas.microsoft.com/office/drawing/2014/main" id="{C8EE0950-3A06-4E2D-962D-3BF8ACC55510}"/>
            </a:ext>
          </a:extLst>
        </xdr:cNvPr>
        <xdr:cNvSpPr txBox="1"/>
      </xdr:nvSpPr>
      <xdr:spPr>
        <a:xfrm>
          <a:off x="192776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89" name="CaixaDeTexto 3388">
          <a:extLst>
            <a:ext uri="{FF2B5EF4-FFF2-40B4-BE49-F238E27FC236}">
              <a16:creationId xmlns:a16="http://schemas.microsoft.com/office/drawing/2014/main" id="{CE0D247C-4D01-4608-AE5B-7153DBB8EA6C}"/>
            </a:ext>
          </a:extLst>
        </xdr:cNvPr>
        <xdr:cNvSpPr txBox="1"/>
      </xdr:nvSpPr>
      <xdr:spPr>
        <a:xfrm>
          <a:off x="192776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390" name="CaixaDeTexto 3389">
          <a:extLst>
            <a:ext uri="{FF2B5EF4-FFF2-40B4-BE49-F238E27FC236}">
              <a16:creationId xmlns:a16="http://schemas.microsoft.com/office/drawing/2014/main" id="{B9D064F8-7F89-4B98-B302-4C974E2580F0}"/>
            </a:ext>
          </a:extLst>
        </xdr:cNvPr>
        <xdr:cNvSpPr txBox="1"/>
      </xdr:nvSpPr>
      <xdr:spPr>
        <a:xfrm>
          <a:off x="205349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391" name="CaixaDeTexto 3390">
          <a:extLst>
            <a:ext uri="{FF2B5EF4-FFF2-40B4-BE49-F238E27FC236}">
              <a16:creationId xmlns:a16="http://schemas.microsoft.com/office/drawing/2014/main" id="{4B577CE6-8237-47C4-A012-A7CA22154769}"/>
            </a:ext>
          </a:extLst>
        </xdr:cNvPr>
        <xdr:cNvSpPr txBox="1"/>
      </xdr:nvSpPr>
      <xdr:spPr>
        <a:xfrm>
          <a:off x="20534969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5</xdr:row>
      <xdr:rowOff>0</xdr:rowOff>
    </xdr:from>
    <xdr:ext cx="184731" cy="280205"/>
    <xdr:sp macro="" textlink="">
      <xdr:nvSpPr>
        <xdr:cNvPr id="3392" name="CaixaDeTexto 3391">
          <a:extLst>
            <a:ext uri="{FF2B5EF4-FFF2-40B4-BE49-F238E27FC236}">
              <a16:creationId xmlns:a16="http://schemas.microsoft.com/office/drawing/2014/main" id="{DA3E00D2-8D8E-4821-A23E-739621633AE2}"/>
            </a:ext>
          </a:extLst>
        </xdr:cNvPr>
        <xdr:cNvSpPr txBox="1"/>
      </xdr:nvSpPr>
      <xdr:spPr>
        <a:xfrm>
          <a:off x="22106594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5</xdr:row>
      <xdr:rowOff>0</xdr:rowOff>
    </xdr:from>
    <xdr:ext cx="184731" cy="280205"/>
    <xdr:sp macro="" textlink="">
      <xdr:nvSpPr>
        <xdr:cNvPr id="3393" name="CaixaDeTexto 3392">
          <a:extLst>
            <a:ext uri="{FF2B5EF4-FFF2-40B4-BE49-F238E27FC236}">
              <a16:creationId xmlns:a16="http://schemas.microsoft.com/office/drawing/2014/main" id="{6EC92DE9-2540-48D7-B198-C92D5E730E8E}"/>
            </a:ext>
          </a:extLst>
        </xdr:cNvPr>
        <xdr:cNvSpPr txBox="1"/>
      </xdr:nvSpPr>
      <xdr:spPr>
        <a:xfrm>
          <a:off x="22106594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394" name="CaixaDeTexto 3393">
          <a:extLst>
            <a:ext uri="{FF2B5EF4-FFF2-40B4-BE49-F238E27FC236}">
              <a16:creationId xmlns:a16="http://schemas.microsoft.com/office/drawing/2014/main" id="{21C2B2E6-D617-4F9E-B569-C3C3157818F4}"/>
            </a:ext>
          </a:extLst>
        </xdr:cNvPr>
        <xdr:cNvSpPr txBox="1"/>
      </xdr:nvSpPr>
      <xdr:spPr>
        <a:xfrm>
          <a:off x="18950457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395" name="CaixaDeTexto 3394">
          <a:extLst>
            <a:ext uri="{FF2B5EF4-FFF2-40B4-BE49-F238E27FC236}">
              <a16:creationId xmlns:a16="http://schemas.microsoft.com/office/drawing/2014/main" id="{9D9D186E-86A0-4BEE-8ABB-1D0EC4801DC7}"/>
            </a:ext>
          </a:extLst>
        </xdr:cNvPr>
        <xdr:cNvSpPr txBox="1"/>
      </xdr:nvSpPr>
      <xdr:spPr>
        <a:xfrm>
          <a:off x="18950457" y="28946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64BAEBE-40D3-4CB3-95FA-47CF576BE72C}"/>
            </a:ext>
          </a:extLst>
        </xdr:cNvPr>
        <xdr:cNvSpPr txBox="1"/>
      </xdr:nvSpPr>
      <xdr:spPr>
        <a:xfrm>
          <a:off x="185061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9D59181-4230-47F5-88C7-670B0127472D}"/>
            </a:ext>
          </a:extLst>
        </xdr:cNvPr>
        <xdr:cNvSpPr txBox="1"/>
      </xdr:nvSpPr>
      <xdr:spPr>
        <a:xfrm>
          <a:off x="185061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EC7E76B-8446-4B36-9160-3B570F2B6485}"/>
            </a:ext>
          </a:extLst>
        </xdr:cNvPr>
        <xdr:cNvSpPr txBox="1"/>
      </xdr:nvSpPr>
      <xdr:spPr>
        <a:xfrm>
          <a:off x="197634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D7C9A5D7-A7EF-4430-8966-A357681BD06F}"/>
            </a:ext>
          </a:extLst>
        </xdr:cNvPr>
        <xdr:cNvSpPr txBox="1"/>
      </xdr:nvSpPr>
      <xdr:spPr>
        <a:xfrm>
          <a:off x="197634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AE88404-A0EF-462E-AF40-642092D9A081}"/>
            </a:ext>
          </a:extLst>
        </xdr:cNvPr>
        <xdr:cNvSpPr txBox="1"/>
      </xdr:nvSpPr>
      <xdr:spPr>
        <a:xfrm>
          <a:off x="210207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3EB4DA4-905C-4B22-AA4E-013120F3FC59}"/>
            </a:ext>
          </a:extLst>
        </xdr:cNvPr>
        <xdr:cNvSpPr txBox="1"/>
      </xdr:nvSpPr>
      <xdr:spPr>
        <a:xfrm>
          <a:off x="210207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44D1E8A4-9B4C-4200-B7DD-2F4687254C1A}"/>
            </a:ext>
          </a:extLst>
        </xdr:cNvPr>
        <xdr:cNvSpPr txBox="1"/>
      </xdr:nvSpPr>
      <xdr:spPr>
        <a:xfrm>
          <a:off x="15305744" y="380904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CA494F42-909E-4A43-973B-4B7118F5180F}"/>
            </a:ext>
          </a:extLst>
        </xdr:cNvPr>
        <xdr:cNvSpPr txBox="1"/>
      </xdr:nvSpPr>
      <xdr:spPr>
        <a:xfrm>
          <a:off x="197634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A4F6C975-A2D4-45C8-BA2C-B9B5D447958B}"/>
            </a:ext>
          </a:extLst>
        </xdr:cNvPr>
        <xdr:cNvSpPr txBox="1"/>
      </xdr:nvSpPr>
      <xdr:spPr>
        <a:xfrm>
          <a:off x="197634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E5A58151-1491-427A-91D3-5045EC40D455}"/>
            </a:ext>
          </a:extLst>
        </xdr:cNvPr>
        <xdr:cNvSpPr txBox="1"/>
      </xdr:nvSpPr>
      <xdr:spPr>
        <a:xfrm>
          <a:off x="210207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148" name="CaixaDeTexto 3147">
          <a:extLst>
            <a:ext uri="{FF2B5EF4-FFF2-40B4-BE49-F238E27FC236}">
              <a16:creationId xmlns:a16="http://schemas.microsoft.com/office/drawing/2014/main" id="{A6EE7BD8-2839-4154-A4B6-C69DE337DE57}"/>
            </a:ext>
          </a:extLst>
        </xdr:cNvPr>
        <xdr:cNvSpPr txBox="1"/>
      </xdr:nvSpPr>
      <xdr:spPr>
        <a:xfrm>
          <a:off x="21020744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166" name="CaixaDeTexto 3165">
          <a:extLst>
            <a:ext uri="{FF2B5EF4-FFF2-40B4-BE49-F238E27FC236}">
              <a16:creationId xmlns:a16="http://schemas.microsoft.com/office/drawing/2014/main" id="{7D202C12-178B-4C49-8443-165AE6DC5276}"/>
            </a:ext>
          </a:extLst>
        </xdr:cNvPr>
        <xdr:cNvSpPr txBox="1"/>
      </xdr:nvSpPr>
      <xdr:spPr>
        <a:xfrm>
          <a:off x="19436232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174" name="CaixaDeTexto 3173">
          <a:extLst>
            <a:ext uri="{FF2B5EF4-FFF2-40B4-BE49-F238E27FC236}">
              <a16:creationId xmlns:a16="http://schemas.microsoft.com/office/drawing/2014/main" id="{60D42AB5-6BF6-4C08-9C3D-0704F07E71F0}"/>
            </a:ext>
          </a:extLst>
        </xdr:cNvPr>
        <xdr:cNvSpPr txBox="1"/>
      </xdr:nvSpPr>
      <xdr:spPr>
        <a:xfrm>
          <a:off x="19436232" y="37871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141944</xdr:colOff>
      <xdr:row>5</xdr:row>
      <xdr:rowOff>0</xdr:rowOff>
    </xdr:from>
    <xdr:ext cx="184731" cy="280205"/>
    <xdr:sp macro="" textlink="">
      <xdr:nvSpPr>
        <xdr:cNvPr id="3285" name="CaixaDeTexto 3284">
          <a:extLst>
            <a:ext uri="{FF2B5EF4-FFF2-40B4-BE49-F238E27FC236}">
              <a16:creationId xmlns:a16="http://schemas.microsoft.com/office/drawing/2014/main" id="{7D933DB1-6F46-4333-A7E9-CF7AA74FC416}"/>
            </a:ext>
          </a:extLst>
        </xdr:cNvPr>
        <xdr:cNvSpPr txBox="1"/>
      </xdr:nvSpPr>
      <xdr:spPr>
        <a:xfrm>
          <a:off x="16917150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325" name="CaixaDeTexto 3324">
          <a:extLst>
            <a:ext uri="{FF2B5EF4-FFF2-40B4-BE49-F238E27FC236}">
              <a16:creationId xmlns:a16="http://schemas.microsoft.com/office/drawing/2014/main" id="{EFCC62F9-23DB-40DD-B238-ECFE1E0FC152}"/>
            </a:ext>
          </a:extLst>
        </xdr:cNvPr>
        <xdr:cNvSpPr txBox="1"/>
      </xdr:nvSpPr>
      <xdr:spPr>
        <a:xfrm>
          <a:off x="18485973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3326" name="CaixaDeTexto 3325">
          <a:extLst>
            <a:ext uri="{FF2B5EF4-FFF2-40B4-BE49-F238E27FC236}">
              <a16:creationId xmlns:a16="http://schemas.microsoft.com/office/drawing/2014/main" id="{5BED7883-77A1-400E-9EB5-3F6AB27DB163}"/>
            </a:ext>
          </a:extLst>
        </xdr:cNvPr>
        <xdr:cNvSpPr txBox="1"/>
      </xdr:nvSpPr>
      <xdr:spPr>
        <a:xfrm>
          <a:off x="18485973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36" name="CaixaDeTexto 3335">
          <a:extLst>
            <a:ext uri="{FF2B5EF4-FFF2-40B4-BE49-F238E27FC236}">
              <a16:creationId xmlns:a16="http://schemas.microsoft.com/office/drawing/2014/main" id="{E3E078E3-8A31-4B77-830B-612009E5D321}"/>
            </a:ext>
          </a:extLst>
        </xdr:cNvPr>
        <xdr:cNvSpPr txBox="1"/>
      </xdr:nvSpPr>
      <xdr:spPr>
        <a:xfrm>
          <a:off x="19741032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82" name="CaixaDeTexto 3381">
          <a:extLst>
            <a:ext uri="{FF2B5EF4-FFF2-40B4-BE49-F238E27FC236}">
              <a16:creationId xmlns:a16="http://schemas.microsoft.com/office/drawing/2014/main" id="{24CCBC23-AE64-4AEE-A4DA-BF4CD0640C3C}"/>
            </a:ext>
          </a:extLst>
        </xdr:cNvPr>
        <xdr:cNvSpPr txBox="1"/>
      </xdr:nvSpPr>
      <xdr:spPr>
        <a:xfrm>
          <a:off x="19741032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402" name="CaixaDeTexto 3401">
          <a:extLst>
            <a:ext uri="{FF2B5EF4-FFF2-40B4-BE49-F238E27FC236}">
              <a16:creationId xmlns:a16="http://schemas.microsoft.com/office/drawing/2014/main" id="{13DC4537-E29B-44C5-AC04-24A6D6B3068B}"/>
            </a:ext>
          </a:extLst>
        </xdr:cNvPr>
        <xdr:cNvSpPr txBox="1"/>
      </xdr:nvSpPr>
      <xdr:spPr>
        <a:xfrm>
          <a:off x="2099609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403" name="CaixaDeTexto 3402">
          <a:extLst>
            <a:ext uri="{FF2B5EF4-FFF2-40B4-BE49-F238E27FC236}">
              <a16:creationId xmlns:a16="http://schemas.microsoft.com/office/drawing/2014/main" id="{B2268F9B-7DDE-43D7-966B-70D4BD9BF869}"/>
            </a:ext>
          </a:extLst>
        </xdr:cNvPr>
        <xdr:cNvSpPr txBox="1"/>
      </xdr:nvSpPr>
      <xdr:spPr>
        <a:xfrm>
          <a:off x="2099609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409" name="CaixaDeTexto 3408">
          <a:extLst>
            <a:ext uri="{FF2B5EF4-FFF2-40B4-BE49-F238E27FC236}">
              <a16:creationId xmlns:a16="http://schemas.microsoft.com/office/drawing/2014/main" id="{3FC84E87-2A28-47B6-8A30-3978426E1233}"/>
            </a:ext>
          </a:extLst>
        </xdr:cNvPr>
        <xdr:cNvSpPr txBox="1"/>
      </xdr:nvSpPr>
      <xdr:spPr>
        <a:xfrm>
          <a:off x="19741032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410" name="CaixaDeTexto 3409">
          <a:extLst>
            <a:ext uri="{FF2B5EF4-FFF2-40B4-BE49-F238E27FC236}">
              <a16:creationId xmlns:a16="http://schemas.microsoft.com/office/drawing/2014/main" id="{A265FF2C-191A-4DA6-83DC-0E07DF0E0C0D}"/>
            </a:ext>
          </a:extLst>
        </xdr:cNvPr>
        <xdr:cNvSpPr txBox="1"/>
      </xdr:nvSpPr>
      <xdr:spPr>
        <a:xfrm>
          <a:off x="19741032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418" name="CaixaDeTexto 3417">
          <a:extLst>
            <a:ext uri="{FF2B5EF4-FFF2-40B4-BE49-F238E27FC236}">
              <a16:creationId xmlns:a16="http://schemas.microsoft.com/office/drawing/2014/main" id="{BCB41E3D-F74D-4287-9CEE-3B2EF0722618}"/>
            </a:ext>
          </a:extLst>
        </xdr:cNvPr>
        <xdr:cNvSpPr txBox="1"/>
      </xdr:nvSpPr>
      <xdr:spPr>
        <a:xfrm>
          <a:off x="2099609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428" name="CaixaDeTexto 3427">
          <a:extLst>
            <a:ext uri="{FF2B5EF4-FFF2-40B4-BE49-F238E27FC236}">
              <a16:creationId xmlns:a16="http://schemas.microsoft.com/office/drawing/2014/main" id="{331DDFD8-0FB7-4FBD-9092-33DAC3A62FE8}"/>
            </a:ext>
          </a:extLst>
        </xdr:cNvPr>
        <xdr:cNvSpPr txBox="1"/>
      </xdr:nvSpPr>
      <xdr:spPr>
        <a:xfrm>
          <a:off x="2099609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434" name="CaixaDeTexto 3433">
          <a:extLst>
            <a:ext uri="{FF2B5EF4-FFF2-40B4-BE49-F238E27FC236}">
              <a16:creationId xmlns:a16="http://schemas.microsoft.com/office/drawing/2014/main" id="{65915638-9F00-462F-822E-16F8A1C53C4B}"/>
            </a:ext>
          </a:extLst>
        </xdr:cNvPr>
        <xdr:cNvSpPr txBox="1"/>
      </xdr:nvSpPr>
      <xdr:spPr>
        <a:xfrm>
          <a:off x="1941438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435" name="CaixaDeTexto 3434">
          <a:extLst>
            <a:ext uri="{FF2B5EF4-FFF2-40B4-BE49-F238E27FC236}">
              <a16:creationId xmlns:a16="http://schemas.microsoft.com/office/drawing/2014/main" id="{E2BD00A1-BC85-41E5-9170-409D4DE48D69}"/>
            </a:ext>
          </a:extLst>
        </xdr:cNvPr>
        <xdr:cNvSpPr txBox="1"/>
      </xdr:nvSpPr>
      <xdr:spPr>
        <a:xfrm>
          <a:off x="19414381" y="9637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6E083589-CCE8-451D-B946-6E01A897E91F}"/>
            </a:ext>
          </a:extLst>
        </xdr:cNvPr>
        <xdr:cNvSpPr txBox="1"/>
      </xdr:nvSpPr>
      <xdr:spPr>
        <a:xfrm>
          <a:off x="18485973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CCB03212-0AAB-42A8-9E7F-CB76C3A271EB}"/>
            </a:ext>
          </a:extLst>
        </xdr:cNvPr>
        <xdr:cNvSpPr txBox="1"/>
      </xdr:nvSpPr>
      <xdr:spPr>
        <a:xfrm>
          <a:off x="18485973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139" name="CaixaDeTexto 3138">
          <a:extLst>
            <a:ext uri="{FF2B5EF4-FFF2-40B4-BE49-F238E27FC236}">
              <a16:creationId xmlns:a16="http://schemas.microsoft.com/office/drawing/2014/main" id="{41511AFB-7511-424B-9A29-297CC4EA4D9B}"/>
            </a:ext>
          </a:extLst>
        </xdr:cNvPr>
        <xdr:cNvSpPr txBox="1"/>
      </xdr:nvSpPr>
      <xdr:spPr>
        <a:xfrm>
          <a:off x="19741032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152" name="CaixaDeTexto 3151">
          <a:extLst>
            <a:ext uri="{FF2B5EF4-FFF2-40B4-BE49-F238E27FC236}">
              <a16:creationId xmlns:a16="http://schemas.microsoft.com/office/drawing/2014/main" id="{700FAC1F-2AD4-4C8B-8C89-7C8A726A2344}"/>
            </a:ext>
          </a:extLst>
        </xdr:cNvPr>
        <xdr:cNvSpPr txBox="1"/>
      </xdr:nvSpPr>
      <xdr:spPr>
        <a:xfrm>
          <a:off x="19741032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163" name="CaixaDeTexto 3162">
          <a:extLst>
            <a:ext uri="{FF2B5EF4-FFF2-40B4-BE49-F238E27FC236}">
              <a16:creationId xmlns:a16="http://schemas.microsoft.com/office/drawing/2014/main" id="{9F341523-4F8C-4C39-A7B3-0395FAAB93C4}"/>
            </a:ext>
          </a:extLst>
        </xdr:cNvPr>
        <xdr:cNvSpPr txBox="1"/>
      </xdr:nvSpPr>
      <xdr:spPr>
        <a:xfrm>
          <a:off x="2099609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165" name="CaixaDeTexto 3164">
          <a:extLst>
            <a:ext uri="{FF2B5EF4-FFF2-40B4-BE49-F238E27FC236}">
              <a16:creationId xmlns:a16="http://schemas.microsoft.com/office/drawing/2014/main" id="{DF610502-77A4-425C-ADB9-86EBEA554157}"/>
            </a:ext>
          </a:extLst>
        </xdr:cNvPr>
        <xdr:cNvSpPr txBox="1"/>
      </xdr:nvSpPr>
      <xdr:spPr>
        <a:xfrm>
          <a:off x="2099609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232" name="CaixaDeTexto 3231">
          <a:extLst>
            <a:ext uri="{FF2B5EF4-FFF2-40B4-BE49-F238E27FC236}">
              <a16:creationId xmlns:a16="http://schemas.microsoft.com/office/drawing/2014/main" id="{5DCF7456-3279-4C4D-9F09-A5E4B6BD4D9C}"/>
            </a:ext>
          </a:extLst>
        </xdr:cNvPr>
        <xdr:cNvSpPr txBox="1"/>
      </xdr:nvSpPr>
      <xdr:spPr>
        <a:xfrm>
          <a:off x="15291176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251" name="CaixaDeTexto 3250">
          <a:extLst>
            <a:ext uri="{FF2B5EF4-FFF2-40B4-BE49-F238E27FC236}">
              <a16:creationId xmlns:a16="http://schemas.microsoft.com/office/drawing/2014/main" id="{756AEA41-40B6-4232-8107-FF1521938D23}"/>
            </a:ext>
          </a:extLst>
        </xdr:cNvPr>
        <xdr:cNvSpPr txBox="1"/>
      </xdr:nvSpPr>
      <xdr:spPr>
        <a:xfrm>
          <a:off x="19741032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5</xdr:row>
      <xdr:rowOff>0</xdr:rowOff>
    </xdr:from>
    <xdr:ext cx="184731" cy="280205"/>
    <xdr:sp macro="" textlink="">
      <xdr:nvSpPr>
        <xdr:cNvPr id="3380" name="CaixaDeTexto 3379">
          <a:extLst>
            <a:ext uri="{FF2B5EF4-FFF2-40B4-BE49-F238E27FC236}">
              <a16:creationId xmlns:a16="http://schemas.microsoft.com/office/drawing/2014/main" id="{97FB5FC2-DAF9-4728-B800-322D2C2BBDB5}"/>
            </a:ext>
          </a:extLst>
        </xdr:cNvPr>
        <xdr:cNvSpPr txBox="1"/>
      </xdr:nvSpPr>
      <xdr:spPr>
        <a:xfrm>
          <a:off x="19741032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388" name="CaixaDeTexto 3387">
          <a:extLst>
            <a:ext uri="{FF2B5EF4-FFF2-40B4-BE49-F238E27FC236}">
              <a16:creationId xmlns:a16="http://schemas.microsoft.com/office/drawing/2014/main" id="{2108D485-8BB2-4D1B-BA87-DEFB1190F251}"/>
            </a:ext>
          </a:extLst>
        </xdr:cNvPr>
        <xdr:cNvSpPr txBox="1"/>
      </xdr:nvSpPr>
      <xdr:spPr>
        <a:xfrm>
          <a:off x="2099609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5</xdr:row>
      <xdr:rowOff>0</xdr:rowOff>
    </xdr:from>
    <xdr:ext cx="184731" cy="280205"/>
    <xdr:sp macro="" textlink="">
      <xdr:nvSpPr>
        <xdr:cNvPr id="3406" name="CaixaDeTexto 3405">
          <a:extLst>
            <a:ext uri="{FF2B5EF4-FFF2-40B4-BE49-F238E27FC236}">
              <a16:creationId xmlns:a16="http://schemas.microsoft.com/office/drawing/2014/main" id="{799CB96E-A5B5-41EB-A439-A95FD7AB6148}"/>
            </a:ext>
          </a:extLst>
        </xdr:cNvPr>
        <xdr:cNvSpPr txBox="1"/>
      </xdr:nvSpPr>
      <xdr:spPr>
        <a:xfrm>
          <a:off x="2099609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425" name="CaixaDeTexto 3424">
          <a:extLst>
            <a:ext uri="{FF2B5EF4-FFF2-40B4-BE49-F238E27FC236}">
              <a16:creationId xmlns:a16="http://schemas.microsoft.com/office/drawing/2014/main" id="{E45A3909-1FFA-4321-8921-2A3F070771C0}"/>
            </a:ext>
          </a:extLst>
        </xdr:cNvPr>
        <xdr:cNvSpPr txBox="1"/>
      </xdr:nvSpPr>
      <xdr:spPr>
        <a:xfrm>
          <a:off x="1941438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5</xdr:row>
      <xdr:rowOff>0</xdr:rowOff>
    </xdr:from>
    <xdr:ext cx="184731" cy="280205"/>
    <xdr:sp macro="" textlink="">
      <xdr:nvSpPr>
        <xdr:cNvPr id="3432" name="CaixaDeTexto 3431">
          <a:extLst>
            <a:ext uri="{FF2B5EF4-FFF2-40B4-BE49-F238E27FC236}">
              <a16:creationId xmlns:a16="http://schemas.microsoft.com/office/drawing/2014/main" id="{8D8506CA-FDE1-4E74-A154-176AFDE8CF33}"/>
            </a:ext>
          </a:extLst>
        </xdr:cNvPr>
        <xdr:cNvSpPr txBox="1"/>
      </xdr:nvSpPr>
      <xdr:spPr>
        <a:xfrm>
          <a:off x="19414381" y="419324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433" name="CaixaDeTexto 3432">
          <a:extLst>
            <a:ext uri="{FF2B5EF4-FFF2-40B4-BE49-F238E27FC236}">
              <a16:creationId xmlns:a16="http://schemas.microsoft.com/office/drawing/2014/main" id="{0F15C992-8419-4CB9-92EF-48F772CF9DAE}"/>
            </a:ext>
          </a:extLst>
        </xdr:cNvPr>
        <xdr:cNvSpPr txBox="1"/>
      </xdr:nvSpPr>
      <xdr:spPr>
        <a:xfrm>
          <a:off x="15291176" y="42151487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5</xdr:row>
      <xdr:rowOff>0</xdr:rowOff>
    </xdr:from>
    <xdr:ext cx="184731" cy="280205"/>
    <xdr:sp macro="" textlink="">
      <xdr:nvSpPr>
        <xdr:cNvPr id="3474" name="CaixaDeTexto 3473">
          <a:extLst>
            <a:ext uri="{FF2B5EF4-FFF2-40B4-BE49-F238E27FC236}">
              <a16:creationId xmlns:a16="http://schemas.microsoft.com/office/drawing/2014/main" id="{ED998D65-D7B4-45DF-8ADA-947DF9EDCB7A}"/>
            </a:ext>
          </a:extLst>
        </xdr:cNvPr>
        <xdr:cNvSpPr txBox="1"/>
      </xdr:nvSpPr>
      <xdr:spPr>
        <a:xfrm>
          <a:off x="15291176" y="437567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ADE295C-5152-40CA-9F8A-9E9DBD8887A1}"/>
            </a:ext>
          </a:extLst>
        </xdr:cNvPr>
        <xdr:cNvSpPr txBox="1"/>
      </xdr:nvSpPr>
      <xdr:spPr>
        <a:xfrm>
          <a:off x="30450494" y="212026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5</xdr:row>
      <xdr:rowOff>0</xdr:rowOff>
    </xdr:from>
    <xdr:ext cx="184731" cy="28020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35F2A6D-7B12-4DF9-9A6E-861D8C90E455}"/>
            </a:ext>
          </a:extLst>
        </xdr:cNvPr>
        <xdr:cNvSpPr txBox="1"/>
      </xdr:nvSpPr>
      <xdr:spPr>
        <a:xfrm>
          <a:off x="30450494" y="212026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99</xdr:col>
      <xdr:colOff>33248</xdr:colOff>
      <xdr:row>6</xdr:row>
      <xdr:rowOff>142395</xdr:rowOff>
    </xdr:from>
    <xdr:to>
      <xdr:col>102</xdr:col>
      <xdr:colOff>27953</xdr:colOff>
      <xdr:row>7</xdr:row>
      <xdr:rowOff>141091</xdr:rowOff>
    </xdr:to>
    <xdr:sp macro="" textlink="">
      <xdr:nvSpPr>
        <xdr:cNvPr id="3184" name="Retângulo 3183">
          <a:extLst>
            <a:ext uri="{FF2B5EF4-FFF2-40B4-BE49-F238E27FC236}">
              <a16:creationId xmlns:a16="http://schemas.microsoft.com/office/drawing/2014/main" id="{F902EB49-CE14-0C5E-F4E8-62BAA49E337D}"/>
            </a:ext>
          </a:extLst>
        </xdr:cNvPr>
        <xdr:cNvSpPr/>
      </xdr:nvSpPr>
      <xdr:spPr>
        <a:xfrm>
          <a:off x="20607248" y="10741122"/>
          <a:ext cx="929887" cy="22383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twoCellAnchor>
    <xdr:from>
      <xdr:col>104</xdr:col>
      <xdr:colOff>3907</xdr:colOff>
      <xdr:row>6</xdr:row>
      <xdr:rowOff>142395</xdr:rowOff>
    </xdr:from>
    <xdr:to>
      <xdr:col>105</xdr:col>
      <xdr:colOff>301582</xdr:colOff>
      <xdr:row>7</xdr:row>
      <xdr:rowOff>148677</xdr:rowOff>
    </xdr:to>
    <xdr:sp macro="" textlink="">
      <xdr:nvSpPr>
        <xdr:cNvPr id="3187" name="Retângulo 3186">
          <a:extLst>
            <a:ext uri="{FF2B5EF4-FFF2-40B4-BE49-F238E27FC236}">
              <a16:creationId xmlns:a16="http://schemas.microsoft.com/office/drawing/2014/main" id="{38D6D498-E1E8-EC87-4B99-39243ED1910D}"/>
            </a:ext>
          </a:extLst>
        </xdr:cNvPr>
        <xdr:cNvSpPr/>
      </xdr:nvSpPr>
      <xdr:spPr>
        <a:xfrm>
          <a:off x="22216207" y="7895745"/>
          <a:ext cx="612000" cy="2348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102</xdr:col>
      <xdr:colOff>40328</xdr:colOff>
      <xdr:row>6</xdr:row>
      <xdr:rowOff>142395</xdr:rowOff>
    </xdr:from>
    <xdr:to>
      <xdr:col>103</xdr:col>
      <xdr:colOff>302564</xdr:colOff>
      <xdr:row>7</xdr:row>
      <xdr:rowOff>148677</xdr:rowOff>
    </xdr:to>
    <xdr:sp macro="" textlink="">
      <xdr:nvSpPr>
        <xdr:cNvPr id="3190" name="Retângulo 3189">
          <a:extLst>
            <a:ext uri="{FF2B5EF4-FFF2-40B4-BE49-F238E27FC236}">
              <a16:creationId xmlns:a16="http://schemas.microsoft.com/office/drawing/2014/main" id="{7F62E5CD-5A52-50D2-4F0C-FA9F5F1103C4}"/>
            </a:ext>
          </a:extLst>
        </xdr:cNvPr>
        <xdr:cNvSpPr/>
      </xdr:nvSpPr>
      <xdr:spPr>
        <a:xfrm>
          <a:off x="21549510" y="10741122"/>
          <a:ext cx="573963" cy="23141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oneCellAnchor>
    <xdr:from>
      <xdr:col>63</xdr:col>
      <xdr:colOff>141944</xdr:colOff>
      <xdr:row>22</xdr:row>
      <xdr:rowOff>0</xdr:rowOff>
    </xdr:from>
    <xdr:ext cx="184731" cy="280205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6FD14914-9E0B-4EE4-8135-1822DC1A3C97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22</xdr:row>
      <xdr:rowOff>0</xdr:rowOff>
    </xdr:from>
    <xdr:ext cx="184731" cy="280205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A1D8359E-0172-4F90-9629-83089F3D5C15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328637A2-D4F2-4C1B-8B8A-1ACCE15E2E1F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E9F88277-EA87-4094-A043-E404990E408C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73125228-6322-4727-91A5-8E6EFB23049A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54F8DD69-E2E0-4438-8966-D1F214AC2F4E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E195D160-922E-4D83-AEA8-0EB1CEDCD044}"/>
            </a:ext>
          </a:extLst>
        </xdr:cNvPr>
        <xdr:cNvSpPr txBox="1"/>
      </xdr:nvSpPr>
      <xdr:spPr>
        <a:xfrm>
          <a:off x="12569268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536500B2-2320-4565-AAEE-33AF53B9578B}"/>
            </a:ext>
          </a:extLst>
        </xdr:cNvPr>
        <xdr:cNvSpPr txBox="1"/>
      </xdr:nvSpPr>
      <xdr:spPr>
        <a:xfrm>
          <a:off x="12569268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22</xdr:row>
      <xdr:rowOff>0</xdr:rowOff>
    </xdr:from>
    <xdr:ext cx="184731" cy="280205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7A3416B4-A4C8-4FDE-A04D-6E2C8193548F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5CBF3B20-B346-41A9-A6FC-84B7E8CF2707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8B16FB7-74E8-4531-A8A9-D649158D7739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8C71C922-36CD-425C-8411-6A0F9E3078F4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3137" name="CaixaDeTexto 3136">
          <a:extLst>
            <a:ext uri="{FF2B5EF4-FFF2-40B4-BE49-F238E27FC236}">
              <a16:creationId xmlns:a16="http://schemas.microsoft.com/office/drawing/2014/main" id="{EC7B5386-B1B6-46AD-8AF3-B32C8F139C39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41" name="CaixaDeTexto 3140">
          <a:extLst>
            <a:ext uri="{FF2B5EF4-FFF2-40B4-BE49-F238E27FC236}">
              <a16:creationId xmlns:a16="http://schemas.microsoft.com/office/drawing/2014/main" id="{B565EAE0-DEC1-4FEE-B2A3-25671DE3C87D}"/>
            </a:ext>
          </a:extLst>
        </xdr:cNvPr>
        <xdr:cNvSpPr txBox="1"/>
      </xdr:nvSpPr>
      <xdr:spPr>
        <a:xfrm>
          <a:off x="12569268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45" name="CaixaDeTexto 3144">
          <a:extLst>
            <a:ext uri="{FF2B5EF4-FFF2-40B4-BE49-F238E27FC236}">
              <a16:creationId xmlns:a16="http://schemas.microsoft.com/office/drawing/2014/main" id="{80267EAD-F6F5-478D-A563-892F67DD25FE}"/>
            </a:ext>
          </a:extLst>
        </xdr:cNvPr>
        <xdr:cNvSpPr txBox="1"/>
      </xdr:nvSpPr>
      <xdr:spPr>
        <a:xfrm>
          <a:off x="12569268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22</xdr:row>
      <xdr:rowOff>0</xdr:rowOff>
    </xdr:from>
    <xdr:ext cx="184731" cy="280205"/>
    <xdr:sp macro="" textlink="">
      <xdr:nvSpPr>
        <xdr:cNvPr id="3146" name="CaixaDeTexto 3145">
          <a:extLst>
            <a:ext uri="{FF2B5EF4-FFF2-40B4-BE49-F238E27FC236}">
              <a16:creationId xmlns:a16="http://schemas.microsoft.com/office/drawing/2014/main" id="{C851C6DC-8A02-4C03-9844-F65A42C3AE56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22</xdr:row>
      <xdr:rowOff>0</xdr:rowOff>
    </xdr:from>
    <xdr:ext cx="184731" cy="280205"/>
    <xdr:sp macro="" textlink="">
      <xdr:nvSpPr>
        <xdr:cNvPr id="3153" name="CaixaDeTexto 3152">
          <a:extLst>
            <a:ext uri="{FF2B5EF4-FFF2-40B4-BE49-F238E27FC236}">
              <a16:creationId xmlns:a16="http://schemas.microsoft.com/office/drawing/2014/main" id="{E572CF91-16A8-4B3C-A4FF-AF094F5440F5}"/>
            </a:ext>
          </a:extLst>
        </xdr:cNvPr>
        <xdr:cNvSpPr txBox="1"/>
      </xdr:nvSpPr>
      <xdr:spPr>
        <a:xfrm>
          <a:off x="12113559" y="3282202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22</xdr:row>
      <xdr:rowOff>0</xdr:rowOff>
    </xdr:from>
    <xdr:ext cx="184731" cy="280205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BD8A6E39-0394-4E36-8008-03F436D74041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22</xdr:row>
      <xdr:rowOff>0</xdr:rowOff>
    </xdr:from>
    <xdr:ext cx="184731" cy="280205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8CB39117-A22F-4B63-8553-D081CD0EF3FA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3BFF198-D0D0-4AAB-806D-7F3B57C501A8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5FB10D8D-A2D1-4614-86E4-78BF895DC166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DF457B5-8632-4445-BAB7-328EB17D220C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BA3A10C3-2025-4951-AB18-5F4A4C192A2D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57" name="CaixaDeTexto 3156">
          <a:extLst>
            <a:ext uri="{FF2B5EF4-FFF2-40B4-BE49-F238E27FC236}">
              <a16:creationId xmlns:a16="http://schemas.microsoft.com/office/drawing/2014/main" id="{DF249120-7728-4E02-B65C-B9DC0BC3BE0D}"/>
            </a:ext>
          </a:extLst>
        </xdr:cNvPr>
        <xdr:cNvSpPr txBox="1"/>
      </xdr:nvSpPr>
      <xdr:spPr>
        <a:xfrm>
          <a:off x="12572069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61" name="CaixaDeTexto 3160">
          <a:extLst>
            <a:ext uri="{FF2B5EF4-FFF2-40B4-BE49-F238E27FC236}">
              <a16:creationId xmlns:a16="http://schemas.microsoft.com/office/drawing/2014/main" id="{BD0E3C89-037B-4E30-B92D-A98C92841C21}"/>
            </a:ext>
          </a:extLst>
        </xdr:cNvPr>
        <xdr:cNvSpPr txBox="1"/>
      </xdr:nvSpPr>
      <xdr:spPr>
        <a:xfrm>
          <a:off x="12572069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22</xdr:row>
      <xdr:rowOff>0</xdr:rowOff>
    </xdr:from>
    <xdr:ext cx="184731" cy="280205"/>
    <xdr:sp macro="" textlink="">
      <xdr:nvSpPr>
        <xdr:cNvPr id="3162" name="CaixaDeTexto 3161">
          <a:extLst>
            <a:ext uri="{FF2B5EF4-FFF2-40B4-BE49-F238E27FC236}">
              <a16:creationId xmlns:a16="http://schemas.microsoft.com/office/drawing/2014/main" id="{B4579620-FD7A-42DA-A736-669D21A8880D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3168" name="CaixaDeTexto 3167">
          <a:extLst>
            <a:ext uri="{FF2B5EF4-FFF2-40B4-BE49-F238E27FC236}">
              <a16:creationId xmlns:a16="http://schemas.microsoft.com/office/drawing/2014/main" id="{6A9E8759-C76E-46E4-BBF8-823A106E7C15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22</xdr:row>
      <xdr:rowOff>0</xdr:rowOff>
    </xdr:from>
    <xdr:ext cx="184731" cy="280205"/>
    <xdr:sp macro="" textlink="">
      <xdr:nvSpPr>
        <xdr:cNvPr id="3170" name="CaixaDeTexto 3169">
          <a:extLst>
            <a:ext uri="{FF2B5EF4-FFF2-40B4-BE49-F238E27FC236}">
              <a16:creationId xmlns:a16="http://schemas.microsoft.com/office/drawing/2014/main" id="{56B6E573-1214-4354-B775-D8EAA032D4A4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3172" name="CaixaDeTexto 3171">
          <a:extLst>
            <a:ext uri="{FF2B5EF4-FFF2-40B4-BE49-F238E27FC236}">
              <a16:creationId xmlns:a16="http://schemas.microsoft.com/office/drawing/2014/main" id="{043436FF-51BD-4B31-88BC-EF2DA962EE80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22</xdr:row>
      <xdr:rowOff>0</xdr:rowOff>
    </xdr:from>
    <xdr:ext cx="184731" cy="280205"/>
    <xdr:sp macro="" textlink="">
      <xdr:nvSpPr>
        <xdr:cNvPr id="3173" name="CaixaDeTexto 3172">
          <a:extLst>
            <a:ext uri="{FF2B5EF4-FFF2-40B4-BE49-F238E27FC236}">
              <a16:creationId xmlns:a16="http://schemas.microsoft.com/office/drawing/2014/main" id="{3241C286-4EF4-462E-896C-4BC24D0FF2B7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85" name="CaixaDeTexto 3184">
          <a:extLst>
            <a:ext uri="{FF2B5EF4-FFF2-40B4-BE49-F238E27FC236}">
              <a16:creationId xmlns:a16="http://schemas.microsoft.com/office/drawing/2014/main" id="{D818D85A-F940-4C6E-93FE-E32A7831CDD2}"/>
            </a:ext>
          </a:extLst>
        </xdr:cNvPr>
        <xdr:cNvSpPr txBox="1"/>
      </xdr:nvSpPr>
      <xdr:spPr>
        <a:xfrm>
          <a:off x="12572069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22</xdr:row>
      <xdr:rowOff>0</xdr:rowOff>
    </xdr:from>
    <xdr:ext cx="184731" cy="280205"/>
    <xdr:sp macro="" textlink="">
      <xdr:nvSpPr>
        <xdr:cNvPr id="3195" name="CaixaDeTexto 3194">
          <a:extLst>
            <a:ext uri="{FF2B5EF4-FFF2-40B4-BE49-F238E27FC236}">
              <a16:creationId xmlns:a16="http://schemas.microsoft.com/office/drawing/2014/main" id="{AF7090D4-A9F1-4055-A016-A1258D3E6279}"/>
            </a:ext>
          </a:extLst>
        </xdr:cNvPr>
        <xdr:cNvSpPr txBox="1"/>
      </xdr:nvSpPr>
      <xdr:spPr>
        <a:xfrm>
          <a:off x="12572069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22</xdr:row>
      <xdr:rowOff>0</xdr:rowOff>
    </xdr:from>
    <xdr:ext cx="184731" cy="280205"/>
    <xdr:sp macro="" textlink="">
      <xdr:nvSpPr>
        <xdr:cNvPr id="3198" name="CaixaDeTexto 3197">
          <a:extLst>
            <a:ext uri="{FF2B5EF4-FFF2-40B4-BE49-F238E27FC236}">
              <a16:creationId xmlns:a16="http://schemas.microsoft.com/office/drawing/2014/main" id="{74DBE297-4B15-479A-AD53-CF868598458E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22</xdr:row>
      <xdr:rowOff>0</xdr:rowOff>
    </xdr:from>
    <xdr:ext cx="184731" cy="280205"/>
    <xdr:sp macro="" textlink="">
      <xdr:nvSpPr>
        <xdr:cNvPr id="3200" name="CaixaDeTexto 3199">
          <a:extLst>
            <a:ext uri="{FF2B5EF4-FFF2-40B4-BE49-F238E27FC236}">
              <a16:creationId xmlns:a16="http://schemas.microsoft.com/office/drawing/2014/main" id="{D0447D15-D30E-4900-A24D-4F6A1DA40A63}"/>
            </a:ext>
          </a:extLst>
        </xdr:cNvPr>
        <xdr:cNvSpPr txBox="1"/>
      </xdr:nvSpPr>
      <xdr:spPr>
        <a:xfrm>
          <a:off x="12115800" y="2875788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92</xdr:col>
      <xdr:colOff>308467</xdr:colOff>
      <xdr:row>47</xdr:row>
      <xdr:rowOff>104852</xdr:rowOff>
    </xdr:from>
    <xdr:to>
      <xdr:col>96</xdr:col>
      <xdr:colOff>271357</xdr:colOff>
      <xdr:row>48</xdr:row>
      <xdr:rowOff>104326</xdr:rowOff>
    </xdr:to>
    <xdr:sp macro="" textlink="">
      <xdr:nvSpPr>
        <xdr:cNvPr id="3476" name="Retângulo 3475">
          <a:extLst>
            <a:ext uri="{FF2B5EF4-FFF2-40B4-BE49-F238E27FC236}">
              <a16:creationId xmlns:a16="http://schemas.microsoft.com/office/drawing/2014/main" id="{72E65E26-3592-4428-99E0-B1F0BE17EDBF}"/>
            </a:ext>
          </a:extLst>
        </xdr:cNvPr>
        <xdr:cNvSpPr/>
      </xdr:nvSpPr>
      <xdr:spPr>
        <a:xfrm>
          <a:off x="18604087" y="25959512"/>
          <a:ext cx="1212570" cy="2280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User Requirem</a:t>
          </a:r>
        </a:p>
      </xdr:txBody>
    </xdr:sp>
    <xdr:clientData/>
  </xdr:twoCellAnchor>
  <xdr:twoCellAnchor>
    <xdr:from>
      <xdr:col>97</xdr:col>
      <xdr:colOff>3193</xdr:colOff>
      <xdr:row>47</xdr:row>
      <xdr:rowOff>108856</xdr:rowOff>
    </xdr:from>
    <xdr:to>
      <xdr:col>102</xdr:col>
      <xdr:colOff>0</xdr:colOff>
      <xdr:row>48</xdr:row>
      <xdr:rowOff>108857</xdr:rowOff>
    </xdr:to>
    <xdr:sp macro="" textlink="">
      <xdr:nvSpPr>
        <xdr:cNvPr id="3477" name="Retângulo 3476">
          <a:extLst>
            <a:ext uri="{FF2B5EF4-FFF2-40B4-BE49-F238E27FC236}">
              <a16:creationId xmlns:a16="http://schemas.microsoft.com/office/drawing/2014/main" id="{CB68B6C0-3A85-4703-90A5-630ABC4387F7}"/>
            </a:ext>
          </a:extLst>
        </xdr:cNvPr>
        <xdr:cNvSpPr/>
      </xdr:nvSpPr>
      <xdr:spPr>
        <a:xfrm>
          <a:off x="20921907" y="36530642"/>
          <a:ext cx="1629664" cy="2267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Development</a:t>
          </a:r>
        </a:p>
      </xdr:txBody>
    </xdr:sp>
    <xdr:clientData/>
  </xdr:twoCellAnchor>
  <xdr:twoCellAnchor>
    <xdr:from>
      <xdr:col>101</xdr:col>
      <xdr:colOff>3073</xdr:colOff>
      <xdr:row>48</xdr:row>
      <xdr:rowOff>149990</xdr:rowOff>
    </xdr:from>
    <xdr:to>
      <xdr:col>102</xdr:col>
      <xdr:colOff>308930</xdr:colOff>
      <xdr:row>49</xdr:row>
      <xdr:rowOff>149463</xdr:rowOff>
    </xdr:to>
    <xdr:sp macro="" textlink="">
      <xdr:nvSpPr>
        <xdr:cNvPr id="3487" name="Retângulo 3486">
          <a:extLst>
            <a:ext uri="{FF2B5EF4-FFF2-40B4-BE49-F238E27FC236}">
              <a16:creationId xmlns:a16="http://schemas.microsoft.com/office/drawing/2014/main" id="{924478DE-9559-47C5-849B-8E3CA1CF4481}"/>
            </a:ext>
          </a:extLst>
        </xdr:cNvPr>
        <xdr:cNvSpPr/>
      </xdr:nvSpPr>
      <xdr:spPr>
        <a:xfrm>
          <a:off x="22228073" y="36798561"/>
          <a:ext cx="632428" cy="22625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IT Tests</a:t>
          </a:r>
        </a:p>
      </xdr:txBody>
    </xdr:sp>
    <xdr:clientData/>
  </xdr:twoCellAnchor>
  <xdr:twoCellAnchor>
    <xdr:from>
      <xdr:col>103</xdr:col>
      <xdr:colOff>4528</xdr:colOff>
      <xdr:row>48</xdr:row>
      <xdr:rowOff>149990</xdr:rowOff>
    </xdr:from>
    <xdr:to>
      <xdr:col>105</xdr:col>
      <xdr:colOff>4238</xdr:colOff>
      <xdr:row>49</xdr:row>
      <xdr:rowOff>149463</xdr:rowOff>
    </xdr:to>
    <xdr:sp macro="" textlink="">
      <xdr:nvSpPr>
        <xdr:cNvPr id="3489" name="Retângulo 3488">
          <a:extLst>
            <a:ext uri="{FF2B5EF4-FFF2-40B4-BE49-F238E27FC236}">
              <a16:creationId xmlns:a16="http://schemas.microsoft.com/office/drawing/2014/main" id="{67E2949C-89AA-44A6-8F30-8BC8B9AE8017}"/>
            </a:ext>
          </a:extLst>
        </xdr:cNvPr>
        <xdr:cNvSpPr/>
      </xdr:nvSpPr>
      <xdr:spPr>
        <a:xfrm>
          <a:off x="22882671" y="36798561"/>
          <a:ext cx="652853" cy="22625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User Test</a:t>
          </a:r>
        </a:p>
      </xdr:txBody>
    </xdr:sp>
    <xdr:clientData/>
  </xdr:twoCellAnchor>
  <xdr:oneCellAnchor>
    <xdr:from>
      <xdr:col>48</xdr:col>
      <xdr:colOff>141944</xdr:colOff>
      <xdr:row>57</xdr:row>
      <xdr:rowOff>0</xdr:rowOff>
    </xdr:from>
    <xdr:ext cx="184731" cy="280205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A5406A83-5D61-4BBC-93DF-EAE3A3FA102C}"/>
            </a:ext>
          </a:extLst>
        </xdr:cNvPr>
        <xdr:cNvSpPr txBox="1"/>
      </xdr:nvSpPr>
      <xdr:spPr>
        <a:xfrm>
          <a:off x="12792075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57</xdr:row>
      <xdr:rowOff>0</xdr:rowOff>
    </xdr:from>
    <xdr:ext cx="184731" cy="280205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C5E27A6F-366B-461C-8E0E-92A60AA3AE52}"/>
            </a:ext>
          </a:extLst>
        </xdr:cNvPr>
        <xdr:cNvSpPr txBox="1"/>
      </xdr:nvSpPr>
      <xdr:spPr>
        <a:xfrm>
          <a:off x="12792075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57</xdr:row>
      <xdr:rowOff>0</xdr:rowOff>
    </xdr:from>
    <xdr:ext cx="184731" cy="280205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149D21B9-D53F-4F60-9491-C496C21EF41F}"/>
            </a:ext>
          </a:extLst>
        </xdr:cNvPr>
        <xdr:cNvSpPr txBox="1"/>
      </xdr:nvSpPr>
      <xdr:spPr>
        <a:xfrm>
          <a:off x="14973011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57</xdr:row>
      <xdr:rowOff>0</xdr:rowOff>
    </xdr:from>
    <xdr:ext cx="184731" cy="280205"/>
    <xdr:sp macro="" textlink="">
      <xdr:nvSpPr>
        <xdr:cNvPr id="3155" name="CaixaDeTexto 3154">
          <a:extLst>
            <a:ext uri="{FF2B5EF4-FFF2-40B4-BE49-F238E27FC236}">
              <a16:creationId xmlns:a16="http://schemas.microsoft.com/office/drawing/2014/main" id="{0ABC2804-84AF-4AB7-A9F5-46CB41BDEA46}"/>
            </a:ext>
          </a:extLst>
        </xdr:cNvPr>
        <xdr:cNvSpPr txBox="1"/>
      </xdr:nvSpPr>
      <xdr:spPr>
        <a:xfrm>
          <a:off x="13865949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57</xdr:row>
      <xdr:rowOff>0</xdr:rowOff>
    </xdr:from>
    <xdr:ext cx="184731" cy="280205"/>
    <xdr:sp macro="" textlink="">
      <xdr:nvSpPr>
        <xdr:cNvPr id="3156" name="CaixaDeTexto 3155">
          <a:extLst>
            <a:ext uri="{FF2B5EF4-FFF2-40B4-BE49-F238E27FC236}">
              <a16:creationId xmlns:a16="http://schemas.microsoft.com/office/drawing/2014/main" id="{918FDBB3-DA44-4774-A847-174338FD4100}"/>
            </a:ext>
          </a:extLst>
        </xdr:cNvPr>
        <xdr:cNvSpPr txBox="1"/>
      </xdr:nvSpPr>
      <xdr:spPr>
        <a:xfrm>
          <a:off x="14954602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48</xdr:col>
      <xdr:colOff>141944</xdr:colOff>
      <xdr:row>57</xdr:row>
      <xdr:rowOff>0</xdr:rowOff>
    </xdr:from>
    <xdr:ext cx="184731" cy="280205"/>
    <xdr:sp macro="" textlink="">
      <xdr:nvSpPr>
        <xdr:cNvPr id="3164" name="CaixaDeTexto 3163">
          <a:extLst>
            <a:ext uri="{FF2B5EF4-FFF2-40B4-BE49-F238E27FC236}">
              <a16:creationId xmlns:a16="http://schemas.microsoft.com/office/drawing/2014/main" id="{DD676230-7620-401C-81DF-33F6199C1294}"/>
            </a:ext>
          </a:extLst>
        </xdr:cNvPr>
        <xdr:cNvSpPr txBox="1"/>
      </xdr:nvSpPr>
      <xdr:spPr>
        <a:xfrm>
          <a:off x="12792075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57</xdr:row>
      <xdr:rowOff>0</xdr:rowOff>
    </xdr:from>
    <xdr:ext cx="184731" cy="280205"/>
    <xdr:sp macro="" textlink="">
      <xdr:nvSpPr>
        <xdr:cNvPr id="3175" name="CaixaDeTexto 3174">
          <a:extLst>
            <a:ext uri="{FF2B5EF4-FFF2-40B4-BE49-F238E27FC236}">
              <a16:creationId xmlns:a16="http://schemas.microsoft.com/office/drawing/2014/main" id="{E7887247-A6B0-4DD5-B6F3-2ADA3D7489DF}"/>
            </a:ext>
          </a:extLst>
        </xdr:cNvPr>
        <xdr:cNvSpPr txBox="1"/>
      </xdr:nvSpPr>
      <xdr:spPr>
        <a:xfrm>
          <a:off x="12792075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57</xdr:row>
      <xdr:rowOff>0</xdr:rowOff>
    </xdr:from>
    <xdr:ext cx="184731" cy="280205"/>
    <xdr:sp macro="" textlink="">
      <xdr:nvSpPr>
        <xdr:cNvPr id="3202" name="CaixaDeTexto 3201">
          <a:extLst>
            <a:ext uri="{FF2B5EF4-FFF2-40B4-BE49-F238E27FC236}">
              <a16:creationId xmlns:a16="http://schemas.microsoft.com/office/drawing/2014/main" id="{74A516E3-C528-4984-AC12-D33840B14FB4}"/>
            </a:ext>
          </a:extLst>
        </xdr:cNvPr>
        <xdr:cNvSpPr txBox="1"/>
      </xdr:nvSpPr>
      <xdr:spPr>
        <a:xfrm>
          <a:off x="14973011" y="4223385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57</xdr:row>
      <xdr:rowOff>0</xdr:rowOff>
    </xdr:from>
    <xdr:ext cx="184731" cy="280205"/>
    <xdr:sp macro="" textlink="">
      <xdr:nvSpPr>
        <xdr:cNvPr id="3207" name="CaixaDeTexto 3206">
          <a:extLst>
            <a:ext uri="{FF2B5EF4-FFF2-40B4-BE49-F238E27FC236}">
              <a16:creationId xmlns:a16="http://schemas.microsoft.com/office/drawing/2014/main" id="{A325FB45-9FB6-43BC-A68C-CB736B54A686}"/>
            </a:ext>
          </a:extLst>
        </xdr:cNvPr>
        <xdr:cNvSpPr txBox="1"/>
      </xdr:nvSpPr>
      <xdr:spPr>
        <a:xfrm>
          <a:off x="13865949" y="42247457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57</xdr:row>
      <xdr:rowOff>0</xdr:rowOff>
    </xdr:from>
    <xdr:ext cx="184731" cy="280205"/>
    <xdr:sp macro="" textlink="">
      <xdr:nvSpPr>
        <xdr:cNvPr id="3208" name="CaixaDeTexto 3207">
          <a:extLst>
            <a:ext uri="{FF2B5EF4-FFF2-40B4-BE49-F238E27FC236}">
              <a16:creationId xmlns:a16="http://schemas.microsoft.com/office/drawing/2014/main" id="{FB34D33C-621E-47B9-BC95-2AF6821F4C24}"/>
            </a:ext>
          </a:extLst>
        </xdr:cNvPr>
        <xdr:cNvSpPr txBox="1"/>
      </xdr:nvSpPr>
      <xdr:spPr>
        <a:xfrm>
          <a:off x="14954602" y="42247457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3</xdr:col>
      <xdr:colOff>205511</xdr:colOff>
      <xdr:row>49</xdr:row>
      <xdr:rowOff>193946</xdr:rowOff>
    </xdr:from>
    <xdr:to>
      <xdr:col>3</xdr:col>
      <xdr:colOff>529511</xdr:colOff>
      <xdr:row>51</xdr:row>
      <xdr:rowOff>38527</xdr:rowOff>
    </xdr:to>
    <xdr:sp macro="" textlink="">
      <xdr:nvSpPr>
        <xdr:cNvPr id="3315" name="Elipse 3314">
          <a:extLst>
            <a:ext uri="{FF2B5EF4-FFF2-40B4-BE49-F238E27FC236}">
              <a16:creationId xmlns:a16="http://schemas.microsoft.com/office/drawing/2014/main" id="{D4A7E35C-FD0F-B5B9-2428-C7EC3C62B711}"/>
            </a:ext>
          </a:extLst>
        </xdr:cNvPr>
        <xdr:cNvSpPr/>
      </xdr:nvSpPr>
      <xdr:spPr>
        <a:xfrm>
          <a:off x="5326151" y="26505806"/>
          <a:ext cx="324000" cy="301781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100</xdr:col>
      <xdr:colOff>5024</xdr:colOff>
      <xdr:row>52</xdr:row>
      <xdr:rowOff>71504</xdr:rowOff>
    </xdr:from>
    <xdr:to>
      <xdr:col>102</xdr:col>
      <xdr:colOff>5171</xdr:colOff>
      <xdr:row>53</xdr:row>
      <xdr:rowOff>63500</xdr:rowOff>
    </xdr:to>
    <xdr:sp macro="" textlink="">
      <xdr:nvSpPr>
        <xdr:cNvPr id="3317" name="Retângulo 3316">
          <a:extLst>
            <a:ext uri="{FF2B5EF4-FFF2-40B4-BE49-F238E27FC236}">
              <a16:creationId xmlns:a16="http://schemas.microsoft.com/office/drawing/2014/main" id="{5FFFA4A0-CC84-D6A1-B089-69BECBEB0D13}"/>
            </a:ext>
          </a:extLst>
        </xdr:cNvPr>
        <xdr:cNvSpPr/>
      </xdr:nvSpPr>
      <xdr:spPr>
        <a:xfrm>
          <a:off x="21903453" y="37627218"/>
          <a:ext cx="653289" cy="2187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User Req.</a:t>
          </a:r>
        </a:p>
      </xdr:txBody>
    </xdr:sp>
    <xdr:clientData/>
  </xdr:twoCellAnchor>
  <xdr:twoCellAnchor>
    <xdr:from>
      <xdr:col>102</xdr:col>
      <xdr:colOff>31768</xdr:colOff>
      <xdr:row>52</xdr:row>
      <xdr:rowOff>68435</xdr:rowOff>
    </xdr:from>
    <xdr:to>
      <xdr:col>106</xdr:col>
      <xdr:colOff>31554</xdr:colOff>
      <xdr:row>53</xdr:row>
      <xdr:rowOff>67909</xdr:rowOff>
    </xdr:to>
    <xdr:sp macro="" textlink="">
      <xdr:nvSpPr>
        <xdr:cNvPr id="3319" name="Retângulo 3318">
          <a:extLst>
            <a:ext uri="{FF2B5EF4-FFF2-40B4-BE49-F238E27FC236}">
              <a16:creationId xmlns:a16="http://schemas.microsoft.com/office/drawing/2014/main" id="{63220FE7-0F83-D8CA-B816-8A1330C6EEA1}"/>
            </a:ext>
          </a:extLst>
        </xdr:cNvPr>
        <xdr:cNvSpPr/>
      </xdr:nvSpPr>
      <xdr:spPr>
        <a:xfrm>
          <a:off x="21451588" y="27066095"/>
          <a:ext cx="1249466" cy="2280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Development</a:t>
          </a:r>
        </a:p>
      </xdr:txBody>
    </xdr:sp>
    <xdr:clientData/>
  </xdr:twoCellAnchor>
  <xdr:twoCellAnchor>
    <xdr:from>
      <xdr:col>106</xdr:col>
      <xdr:colOff>31648</xdr:colOff>
      <xdr:row>52</xdr:row>
      <xdr:rowOff>68435</xdr:rowOff>
    </xdr:from>
    <xdr:to>
      <xdr:col>109</xdr:col>
      <xdr:colOff>28575</xdr:colOff>
      <xdr:row>53</xdr:row>
      <xdr:rowOff>66675</xdr:rowOff>
    </xdr:to>
    <xdr:sp macro="" textlink="">
      <xdr:nvSpPr>
        <xdr:cNvPr id="3331" name="Retângulo 3330">
          <a:extLst>
            <a:ext uri="{FF2B5EF4-FFF2-40B4-BE49-F238E27FC236}">
              <a16:creationId xmlns:a16="http://schemas.microsoft.com/office/drawing/2014/main" id="{7C6DBD12-C8C1-56D1-9E07-D69E9AA1467E}"/>
            </a:ext>
          </a:extLst>
        </xdr:cNvPr>
        <xdr:cNvSpPr/>
      </xdr:nvSpPr>
      <xdr:spPr>
        <a:xfrm>
          <a:off x="23377423" y="19718510"/>
          <a:ext cx="939902" cy="2268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IT Tests</a:t>
          </a:r>
        </a:p>
      </xdr:txBody>
    </xdr:sp>
    <xdr:clientData/>
  </xdr:twoCellAnchor>
  <xdr:oneCellAnchor>
    <xdr:from>
      <xdr:col>7</xdr:col>
      <xdr:colOff>0</xdr:colOff>
      <xdr:row>22</xdr:row>
      <xdr:rowOff>0</xdr:rowOff>
    </xdr:from>
    <xdr:ext cx="184731" cy="280205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28D8351-2CE7-4EBF-A364-467D4C150EA2}"/>
            </a:ext>
          </a:extLst>
        </xdr:cNvPr>
        <xdr:cNvSpPr txBox="1"/>
      </xdr:nvSpPr>
      <xdr:spPr>
        <a:xfrm>
          <a:off x="13413441" y="1241611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</xdr:col>
      <xdr:colOff>0</xdr:colOff>
      <xdr:row>22</xdr:row>
      <xdr:rowOff>0</xdr:rowOff>
    </xdr:from>
    <xdr:ext cx="184731" cy="280205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407F2AF7-A65F-4847-80E9-3A4847E8630C}"/>
            </a:ext>
          </a:extLst>
        </xdr:cNvPr>
        <xdr:cNvSpPr txBox="1"/>
      </xdr:nvSpPr>
      <xdr:spPr>
        <a:xfrm>
          <a:off x="13413441" y="12416119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93</xdr:col>
      <xdr:colOff>104775</xdr:colOff>
      <xdr:row>22</xdr:row>
      <xdr:rowOff>0</xdr:rowOff>
    </xdr:from>
    <xdr:ext cx="1190625" cy="276225"/>
    <xdr:sp macro="" textlink="">
      <xdr:nvSpPr>
        <xdr:cNvPr id="3243" name="CaixaDeTexto 3242">
          <a:extLst>
            <a:ext uri="{FF2B5EF4-FFF2-40B4-BE49-F238E27FC236}">
              <a16:creationId xmlns:a16="http://schemas.microsoft.com/office/drawing/2014/main" id="{89A90AA3-E6B5-44CF-932E-3684058C3A10}"/>
            </a:ext>
            <a:ext uri="{147F2762-F138-4A5C-976F-8EAC2B608ADB}">
              <a16:predDERef xmlns:a16="http://schemas.microsoft.com/office/drawing/2014/main" pred="{B43D8E3C-AB8D-709A-E552-C43AAA2E921A}"/>
            </a:ext>
          </a:extLst>
        </xdr:cNvPr>
        <xdr:cNvSpPr txBox="1"/>
      </xdr:nvSpPr>
      <xdr:spPr>
        <a:xfrm>
          <a:off x="19364325" y="1162050"/>
          <a:ext cx="1190625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/>
            <a:t>GDMC - Phase I</a:t>
          </a:r>
          <a:endParaRPr lang="pt-BR" sz="1100" i="1"/>
        </a:p>
      </xdr:txBody>
    </xdr:sp>
    <xdr:clientData/>
  </xdr:oneCellAnchor>
  <xdr:oneCellAnchor>
    <xdr:from>
      <xdr:col>99</xdr:col>
      <xdr:colOff>95250</xdr:colOff>
      <xdr:row>22</xdr:row>
      <xdr:rowOff>0</xdr:rowOff>
    </xdr:from>
    <xdr:ext cx="1228725" cy="342900"/>
    <xdr:sp macro="" textlink="">
      <xdr:nvSpPr>
        <xdr:cNvPr id="3288" name="CaixaDeTexto 3287">
          <a:extLst>
            <a:ext uri="{FF2B5EF4-FFF2-40B4-BE49-F238E27FC236}">
              <a16:creationId xmlns:a16="http://schemas.microsoft.com/office/drawing/2014/main" id="{3B6137EB-03F1-BDBD-D63A-4F75CC910274}"/>
            </a:ext>
            <a:ext uri="{147F2762-F138-4A5C-976F-8EAC2B608ADB}">
              <a16:predDERef xmlns:a16="http://schemas.microsoft.com/office/drawing/2014/main" pred="{72CE870D-0CE4-118B-ACDE-83A571E0066F}"/>
            </a:ext>
          </a:extLst>
        </xdr:cNvPr>
        <xdr:cNvSpPr txBox="1"/>
      </xdr:nvSpPr>
      <xdr:spPr>
        <a:xfrm>
          <a:off x="21229544" y="8620129"/>
          <a:ext cx="1228725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/>
            <a:t>GDMC - Phase II</a:t>
          </a:r>
          <a:endParaRPr lang="pt-BR" sz="1100" i="1"/>
        </a:p>
      </xdr:txBody>
    </xdr:sp>
    <xdr:clientData/>
  </xdr:oneCellAnchor>
  <xdr:twoCellAnchor>
    <xdr:from>
      <xdr:col>100</xdr:col>
      <xdr:colOff>5015</xdr:colOff>
      <xdr:row>8</xdr:row>
      <xdr:rowOff>193851</xdr:rowOff>
    </xdr:from>
    <xdr:to>
      <xdr:col>104</xdr:col>
      <xdr:colOff>151715</xdr:colOff>
      <xdr:row>8</xdr:row>
      <xdr:rowOff>424251</xdr:rowOff>
    </xdr:to>
    <xdr:sp macro="" textlink="">
      <xdr:nvSpPr>
        <xdr:cNvPr id="3341" name="Retângulo 3340">
          <a:extLst>
            <a:ext uri="{FF2B5EF4-FFF2-40B4-BE49-F238E27FC236}">
              <a16:creationId xmlns:a16="http://schemas.microsoft.com/office/drawing/2014/main" id="{9E7E1812-E919-607C-3120-501DF69ABE2E}"/>
            </a:ext>
          </a:extLst>
        </xdr:cNvPr>
        <xdr:cNvSpPr/>
      </xdr:nvSpPr>
      <xdr:spPr>
        <a:xfrm>
          <a:off x="22076121" y="1843357"/>
          <a:ext cx="1437618" cy="230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102</xdr:col>
      <xdr:colOff>13283</xdr:colOff>
      <xdr:row>9</xdr:row>
      <xdr:rowOff>329914</xdr:rowOff>
    </xdr:from>
    <xdr:to>
      <xdr:col>105</xdr:col>
      <xdr:colOff>290226</xdr:colOff>
      <xdr:row>9</xdr:row>
      <xdr:rowOff>548583</xdr:rowOff>
    </xdr:to>
    <xdr:sp macro="" textlink="">
      <xdr:nvSpPr>
        <xdr:cNvPr id="3342" name="Retângulo 3341">
          <a:extLst>
            <a:ext uri="{FF2B5EF4-FFF2-40B4-BE49-F238E27FC236}">
              <a16:creationId xmlns:a16="http://schemas.microsoft.com/office/drawing/2014/main" id="{361789A4-D0CE-E4E7-565C-B312E0A128FE}"/>
            </a:ext>
          </a:extLst>
        </xdr:cNvPr>
        <xdr:cNvSpPr/>
      </xdr:nvSpPr>
      <xdr:spPr>
        <a:xfrm>
          <a:off x="22564854" y="12177200"/>
          <a:ext cx="1256658" cy="2186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twoCellAnchor>
    <xdr:from>
      <xdr:col>114</xdr:col>
      <xdr:colOff>4681</xdr:colOff>
      <xdr:row>9</xdr:row>
      <xdr:rowOff>320390</xdr:rowOff>
    </xdr:from>
    <xdr:to>
      <xdr:col>115</xdr:col>
      <xdr:colOff>302116</xdr:colOff>
      <xdr:row>9</xdr:row>
      <xdr:rowOff>539059</xdr:rowOff>
    </xdr:to>
    <xdr:sp macro="" textlink="">
      <xdr:nvSpPr>
        <xdr:cNvPr id="3343" name="Retângulo 3342">
          <a:extLst>
            <a:ext uri="{FF2B5EF4-FFF2-40B4-BE49-F238E27FC236}">
              <a16:creationId xmlns:a16="http://schemas.microsoft.com/office/drawing/2014/main" id="{6ADEFD2B-7EF3-65A0-8830-13DEF62F6D33}"/>
            </a:ext>
          </a:extLst>
        </xdr:cNvPr>
        <xdr:cNvSpPr/>
      </xdr:nvSpPr>
      <xdr:spPr>
        <a:xfrm>
          <a:off x="25865056" y="2234915"/>
          <a:ext cx="611760" cy="2186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106</xdr:col>
      <xdr:colOff>1320</xdr:colOff>
      <xdr:row>9</xdr:row>
      <xdr:rowOff>329914</xdr:rowOff>
    </xdr:from>
    <xdr:to>
      <xdr:col>108</xdr:col>
      <xdr:colOff>308670</xdr:colOff>
      <xdr:row>9</xdr:row>
      <xdr:rowOff>548583</xdr:rowOff>
    </xdr:to>
    <xdr:sp macro="" textlink="">
      <xdr:nvSpPr>
        <xdr:cNvPr id="3344" name="Retângulo 3343">
          <a:extLst>
            <a:ext uri="{FF2B5EF4-FFF2-40B4-BE49-F238E27FC236}">
              <a16:creationId xmlns:a16="http://schemas.microsoft.com/office/drawing/2014/main" id="{469CA162-654D-B1A9-2966-5341AF388C4C}"/>
            </a:ext>
          </a:extLst>
        </xdr:cNvPr>
        <xdr:cNvSpPr/>
      </xdr:nvSpPr>
      <xdr:spPr>
        <a:xfrm>
          <a:off x="22842270" y="5120989"/>
          <a:ext cx="936000" cy="2186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104</xdr:col>
      <xdr:colOff>17609</xdr:colOff>
      <xdr:row>42</xdr:row>
      <xdr:rowOff>17062</xdr:rowOff>
    </xdr:from>
    <xdr:to>
      <xdr:col>107</xdr:col>
      <xdr:colOff>300315</xdr:colOff>
      <xdr:row>42</xdr:row>
      <xdr:rowOff>238792</xdr:rowOff>
    </xdr:to>
    <xdr:sp macro="" textlink="">
      <xdr:nvSpPr>
        <xdr:cNvPr id="3504" name="Retângulo 3503">
          <a:extLst>
            <a:ext uri="{FF2B5EF4-FFF2-40B4-BE49-F238E27FC236}">
              <a16:creationId xmlns:a16="http://schemas.microsoft.com/office/drawing/2014/main" id="{5694FC57-B318-08C3-DB52-55E8DC82475A}"/>
            </a:ext>
          </a:extLst>
        </xdr:cNvPr>
        <xdr:cNvSpPr/>
      </xdr:nvSpPr>
      <xdr:spPr>
        <a:xfrm>
          <a:off x="22216462" y="29342856"/>
          <a:ext cx="1224000" cy="2217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twoCellAnchor>
    <xdr:from>
      <xdr:col>99</xdr:col>
      <xdr:colOff>304802</xdr:colOff>
      <xdr:row>42</xdr:row>
      <xdr:rowOff>17062</xdr:rowOff>
    </xdr:from>
    <xdr:to>
      <xdr:col>102</xdr:col>
      <xdr:colOff>307178</xdr:colOff>
      <xdr:row>42</xdr:row>
      <xdr:rowOff>238792</xdr:rowOff>
    </xdr:to>
    <xdr:sp macro="" textlink="">
      <xdr:nvSpPr>
        <xdr:cNvPr id="3505" name="Retângulo 3504">
          <a:extLst>
            <a:ext uri="{FF2B5EF4-FFF2-40B4-BE49-F238E27FC236}">
              <a16:creationId xmlns:a16="http://schemas.microsoft.com/office/drawing/2014/main" id="{AD12241F-AB1E-A3AC-8B0E-7DF8EA3BB368}"/>
            </a:ext>
          </a:extLst>
        </xdr:cNvPr>
        <xdr:cNvSpPr/>
      </xdr:nvSpPr>
      <xdr:spPr>
        <a:xfrm>
          <a:off x="21876659" y="34978348"/>
          <a:ext cx="982090" cy="2217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108</xdr:col>
      <xdr:colOff>7758</xdr:colOff>
      <xdr:row>42</xdr:row>
      <xdr:rowOff>17062</xdr:rowOff>
    </xdr:from>
    <xdr:to>
      <xdr:col>109</xdr:col>
      <xdr:colOff>17433</xdr:colOff>
      <xdr:row>42</xdr:row>
      <xdr:rowOff>238792</xdr:rowOff>
    </xdr:to>
    <xdr:sp macro="" textlink="">
      <xdr:nvSpPr>
        <xdr:cNvPr id="3506" name="Retângulo 3505">
          <a:extLst>
            <a:ext uri="{FF2B5EF4-FFF2-40B4-BE49-F238E27FC236}">
              <a16:creationId xmlns:a16="http://schemas.microsoft.com/office/drawing/2014/main" id="{EFE2A022-207F-6016-EE8E-9E80E5150477}"/>
            </a:ext>
          </a:extLst>
        </xdr:cNvPr>
        <xdr:cNvSpPr/>
      </xdr:nvSpPr>
      <xdr:spPr>
        <a:xfrm>
          <a:off x="23982183" y="16942987"/>
          <a:ext cx="324000" cy="2217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124</xdr:col>
      <xdr:colOff>90718</xdr:colOff>
      <xdr:row>42</xdr:row>
      <xdr:rowOff>29482</xdr:rowOff>
    </xdr:from>
    <xdr:to>
      <xdr:col>125</xdr:col>
      <xdr:colOff>279033</xdr:colOff>
      <xdr:row>42</xdr:row>
      <xdr:rowOff>250610</xdr:rowOff>
    </xdr:to>
    <xdr:sp macro="" textlink="">
      <xdr:nvSpPr>
        <xdr:cNvPr id="3507" name="Retângulo 3506">
          <a:extLst>
            <a:ext uri="{FF2B5EF4-FFF2-40B4-BE49-F238E27FC236}">
              <a16:creationId xmlns:a16="http://schemas.microsoft.com/office/drawing/2014/main" id="{B40E0606-6457-EB55-5014-287EF7F713D4}"/>
            </a:ext>
          </a:extLst>
        </xdr:cNvPr>
        <xdr:cNvSpPr/>
      </xdr:nvSpPr>
      <xdr:spPr>
        <a:xfrm>
          <a:off x="29558347" y="15204168"/>
          <a:ext cx="504000" cy="22112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129</xdr:col>
      <xdr:colOff>219680</xdr:colOff>
      <xdr:row>41</xdr:row>
      <xdr:rowOff>154584</xdr:rowOff>
    </xdr:from>
    <xdr:to>
      <xdr:col>130</xdr:col>
      <xdr:colOff>34427</xdr:colOff>
      <xdr:row>41</xdr:row>
      <xdr:rowOff>315207</xdr:rowOff>
    </xdr:to>
    <xdr:sp macro="" textlink="">
      <xdr:nvSpPr>
        <xdr:cNvPr id="3508" name="Estrela: 5 Pontas 3507">
          <a:extLst>
            <a:ext uri="{FF2B5EF4-FFF2-40B4-BE49-F238E27FC236}">
              <a16:creationId xmlns:a16="http://schemas.microsoft.com/office/drawing/2014/main" id="{4C2C2AE8-DBD7-3C10-8E10-275B775D31DD}"/>
            </a:ext>
          </a:extLst>
        </xdr:cNvPr>
        <xdr:cNvSpPr/>
      </xdr:nvSpPr>
      <xdr:spPr>
        <a:xfrm>
          <a:off x="31265737" y="15013584"/>
          <a:ext cx="130433" cy="160623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129</xdr:col>
      <xdr:colOff>72686</xdr:colOff>
      <xdr:row>40</xdr:row>
      <xdr:rowOff>236209</xdr:rowOff>
    </xdr:from>
    <xdr:ext cx="495300" cy="264560"/>
    <xdr:sp macro="" textlink="">
      <xdr:nvSpPr>
        <xdr:cNvPr id="3509" name="CaixaDeTexto 3508">
          <a:extLst>
            <a:ext uri="{FF2B5EF4-FFF2-40B4-BE49-F238E27FC236}">
              <a16:creationId xmlns:a16="http://schemas.microsoft.com/office/drawing/2014/main" id="{9F5F342C-6BF2-E30C-1262-DDD50F339C9D}"/>
            </a:ext>
          </a:extLst>
        </xdr:cNvPr>
        <xdr:cNvSpPr txBox="1"/>
      </xdr:nvSpPr>
      <xdr:spPr>
        <a:xfrm>
          <a:off x="31118743" y="14779523"/>
          <a:ext cx="49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  <xdr:twoCellAnchor>
    <xdr:from>
      <xdr:col>3</xdr:col>
      <xdr:colOff>196211</xdr:colOff>
      <xdr:row>61</xdr:row>
      <xdr:rowOff>159000</xdr:rowOff>
    </xdr:from>
    <xdr:to>
      <xdr:col>3</xdr:col>
      <xdr:colOff>522116</xdr:colOff>
      <xdr:row>63</xdr:row>
      <xdr:rowOff>6157</xdr:rowOff>
    </xdr:to>
    <xdr:sp macro="" textlink="">
      <xdr:nvSpPr>
        <xdr:cNvPr id="3513" name="Elipse 3512">
          <a:extLst>
            <a:ext uri="{FF2B5EF4-FFF2-40B4-BE49-F238E27FC236}">
              <a16:creationId xmlns:a16="http://schemas.microsoft.com/office/drawing/2014/main" id="{53418F79-E23A-A3C4-0BEA-EA0A937FCA78}"/>
            </a:ext>
          </a:extLst>
        </xdr:cNvPr>
        <xdr:cNvSpPr/>
      </xdr:nvSpPr>
      <xdr:spPr>
        <a:xfrm>
          <a:off x="5323382" y="44855743"/>
          <a:ext cx="325905" cy="304357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48</xdr:col>
      <xdr:colOff>141944</xdr:colOff>
      <xdr:row>79</xdr:row>
      <xdr:rowOff>0</xdr:rowOff>
    </xdr:from>
    <xdr:ext cx="184731" cy="280205"/>
    <xdr:sp macro="" textlink="">
      <xdr:nvSpPr>
        <xdr:cNvPr id="3514" name="CaixaDeTexto 3513">
          <a:extLst>
            <a:ext uri="{FF2B5EF4-FFF2-40B4-BE49-F238E27FC236}">
              <a16:creationId xmlns:a16="http://schemas.microsoft.com/office/drawing/2014/main" id="{2305A8FB-F49D-40AE-8332-7FDA83E987B0}"/>
            </a:ext>
          </a:extLst>
        </xdr:cNvPr>
        <xdr:cNvSpPr txBox="1"/>
      </xdr:nvSpPr>
      <xdr:spPr>
        <a:xfrm>
          <a:off x="13432971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79</xdr:row>
      <xdr:rowOff>0</xdr:rowOff>
    </xdr:from>
    <xdr:ext cx="184731" cy="280205"/>
    <xdr:sp macro="" textlink="">
      <xdr:nvSpPr>
        <xdr:cNvPr id="3515" name="CaixaDeTexto 3514">
          <a:extLst>
            <a:ext uri="{FF2B5EF4-FFF2-40B4-BE49-F238E27FC236}">
              <a16:creationId xmlns:a16="http://schemas.microsoft.com/office/drawing/2014/main" id="{94BC279F-6030-429B-91B8-A7BAE720674A}"/>
            </a:ext>
          </a:extLst>
        </xdr:cNvPr>
        <xdr:cNvSpPr txBox="1"/>
      </xdr:nvSpPr>
      <xdr:spPr>
        <a:xfrm>
          <a:off x="13432971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79</xdr:row>
      <xdr:rowOff>0</xdr:rowOff>
    </xdr:from>
    <xdr:ext cx="184731" cy="280205"/>
    <xdr:sp macro="" textlink="">
      <xdr:nvSpPr>
        <xdr:cNvPr id="3516" name="CaixaDeTexto 3515">
          <a:extLst>
            <a:ext uri="{FF2B5EF4-FFF2-40B4-BE49-F238E27FC236}">
              <a16:creationId xmlns:a16="http://schemas.microsoft.com/office/drawing/2014/main" id="{53BB19CA-8C0B-4610-B569-6F8EF49134D0}"/>
            </a:ext>
          </a:extLst>
        </xdr:cNvPr>
        <xdr:cNvSpPr txBox="1"/>
      </xdr:nvSpPr>
      <xdr:spPr>
        <a:xfrm>
          <a:off x="15623977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79</xdr:row>
      <xdr:rowOff>0</xdr:rowOff>
    </xdr:from>
    <xdr:ext cx="184731" cy="280205"/>
    <xdr:sp macro="" textlink="">
      <xdr:nvSpPr>
        <xdr:cNvPr id="3517" name="CaixaDeTexto 3516">
          <a:extLst>
            <a:ext uri="{FF2B5EF4-FFF2-40B4-BE49-F238E27FC236}">
              <a16:creationId xmlns:a16="http://schemas.microsoft.com/office/drawing/2014/main" id="{F85A37B7-C420-41C5-B324-6A37E3614D75}"/>
            </a:ext>
          </a:extLst>
        </xdr:cNvPr>
        <xdr:cNvSpPr txBox="1"/>
      </xdr:nvSpPr>
      <xdr:spPr>
        <a:xfrm>
          <a:off x="14514738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79</xdr:row>
      <xdr:rowOff>0</xdr:rowOff>
    </xdr:from>
    <xdr:ext cx="184731" cy="280205"/>
    <xdr:sp macro="" textlink="">
      <xdr:nvSpPr>
        <xdr:cNvPr id="3518" name="CaixaDeTexto 3517">
          <a:extLst>
            <a:ext uri="{FF2B5EF4-FFF2-40B4-BE49-F238E27FC236}">
              <a16:creationId xmlns:a16="http://schemas.microsoft.com/office/drawing/2014/main" id="{E31A6852-6DCD-47E9-B906-7DEBB3E3E5B2}"/>
            </a:ext>
          </a:extLst>
        </xdr:cNvPr>
        <xdr:cNvSpPr txBox="1"/>
      </xdr:nvSpPr>
      <xdr:spPr>
        <a:xfrm>
          <a:off x="15601758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48</xdr:col>
      <xdr:colOff>141944</xdr:colOff>
      <xdr:row>79</xdr:row>
      <xdr:rowOff>0</xdr:rowOff>
    </xdr:from>
    <xdr:ext cx="184731" cy="280205"/>
    <xdr:sp macro="" textlink="">
      <xdr:nvSpPr>
        <xdr:cNvPr id="3519" name="CaixaDeTexto 3518">
          <a:extLst>
            <a:ext uri="{FF2B5EF4-FFF2-40B4-BE49-F238E27FC236}">
              <a16:creationId xmlns:a16="http://schemas.microsoft.com/office/drawing/2014/main" id="{E9302EF7-56A1-4DF2-820D-8616531945E6}"/>
            </a:ext>
          </a:extLst>
        </xdr:cNvPr>
        <xdr:cNvSpPr txBox="1"/>
      </xdr:nvSpPr>
      <xdr:spPr>
        <a:xfrm>
          <a:off x="13432971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79</xdr:row>
      <xdr:rowOff>0</xdr:rowOff>
    </xdr:from>
    <xdr:ext cx="184731" cy="280205"/>
    <xdr:sp macro="" textlink="">
      <xdr:nvSpPr>
        <xdr:cNvPr id="3072" name="CaixaDeTexto 3071">
          <a:extLst>
            <a:ext uri="{FF2B5EF4-FFF2-40B4-BE49-F238E27FC236}">
              <a16:creationId xmlns:a16="http://schemas.microsoft.com/office/drawing/2014/main" id="{425FDC6A-00E4-459A-ACF1-733B612F6703}"/>
            </a:ext>
          </a:extLst>
        </xdr:cNvPr>
        <xdr:cNvSpPr txBox="1"/>
      </xdr:nvSpPr>
      <xdr:spPr>
        <a:xfrm>
          <a:off x="13432971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79</xdr:row>
      <xdr:rowOff>0</xdr:rowOff>
    </xdr:from>
    <xdr:ext cx="184731" cy="280205"/>
    <xdr:sp macro="" textlink="">
      <xdr:nvSpPr>
        <xdr:cNvPr id="3073" name="CaixaDeTexto 3072">
          <a:extLst>
            <a:ext uri="{FF2B5EF4-FFF2-40B4-BE49-F238E27FC236}">
              <a16:creationId xmlns:a16="http://schemas.microsoft.com/office/drawing/2014/main" id="{AF0179BA-187B-4FDD-ACEB-5CA527FEBB3B}"/>
            </a:ext>
          </a:extLst>
        </xdr:cNvPr>
        <xdr:cNvSpPr txBox="1"/>
      </xdr:nvSpPr>
      <xdr:spPr>
        <a:xfrm>
          <a:off x="15623977" y="43782343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79</xdr:row>
      <xdr:rowOff>0</xdr:rowOff>
    </xdr:from>
    <xdr:ext cx="184731" cy="280205"/>
    <xdr:sp macro="" textlink="">
      <xdr:nvSpPr>
        <xdr:cNvPr id="3074" name="CaixaDeTexto 3073">
          <a:extLst>
            <a:ext uri="{FF2B5EF4-FFF2-40B4-BE49-F238E27FC236}">
              <a16:creationId xmlns:a16="http://schemas.microsoft.com/office/drawing/2014/main" id="{54063D4F-6957-478A-9C14-8613F6643702}"/>
            </a:ext>
          </a:extLst>
        </xdr:cNvPr>
        <xdr:cNvSpPr txBox="1"/>
      </xdr:nvSpPr>
      <xdr:spPr>
        <a:xfrm>
          <a:off x="14514738" y="4379404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79</xdr:row>
      <xdr:rowOff>0</xdr:rowOff>
    </xdr:from>
    <xdr:ext cx="184731" cy="280205"/>
    <xdr:sp macro="" textlink="">
      <xdr:nvSpPr>
        <xdr:cNvPr id="3075" name="CaixaDeTexto 3074">
          <a:extLst>
            <a:ext uri="{FF2B5EF4-FFF2-40B4-BE49-F238E27FC236}">
              <a16:creationId xmlns:a16="http://schemas.microsoft.com/office/drawing/2014/main" id="{C724F821-1F32-440E-BC02-91B2BFC4A5B7}"/>
            </a:ext>
          </a:extLst>
        </xdr:cNvPr>
        <xdr:cNvSpPr txBox="1"/>
      </xdr:nvSpPr>
      <xdr:spPr>
        <a:xfrm>
          <a:off x="15601758" y="4379404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3</xdr:col>
      <xdr:colOff>188134</xdr:colOff>
      <xdr:row>9</xdr:row>
      <xdr:rowOff>272931</xdr:rowOff>
    </xdr:from>
    <xdr:to>
      <xdr:col>3</xdr:col>
      <xdr:colOff>512134</xdr:colOff>
      <xdr:row>9</xdr:row>
      <xdr:rowOff>586499</xdr:rowOff>
    </xdr:to>
    <xdr:sp macro="" textlink="">
      <xdr:nvSpPr>
        <xdr:cNvPr id="3242" name="Elipse 3241">
          <a:extLst>
            <a:ext uri="{FF2B5EF4-FFF2-40B4-BE49-F238E27FC236}">
              <a16:creationId xmlns:a16="http://schemas.microsoft.com/office/drawing/2014/main" id="{C31BB0F4-13CE-4AD2-812C-F3917A822BB2}"/>
            </a:ext>
          </a:extLst>
        </xdr:cNvPr>
        <xdr:cNvSpPr/>
      </xdr:nvSpPr>
      <xdr:spPr>
        <a:xfrm>
          <a:off x="5306786" y="5060279"/>
          <a:ext cx="324000" cy="313568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5200</xdr:colOff>
      <xdr:row>9</xdr:row>
      <xdr:rowOff>1070426</xdr:rowOff>
    </xdr:from>
    <xdr:to>
      <xdr:col>103</xdr:col>
      <xdr:colOff>295900</xdr:colOff>
      <xdr:row>9</xdr:row>
      <xdr:rowOff>1293091</xdr:rowOff>
    </xdr:to>
    <xdr:sp macro="" textlink="">
      <xdr:nvSpPr>
        <xdr:cNvPr id="3309" name="Retângulo 3308">
          <a:extLst>
            <a:ext uri="{FF2B5EF4-FFF2-40B4-BE49-F238E27FC236}">
              <a16:creationId xmlns:a16="http://schemas.microsoft.com/office/drawing/2014/main" id="{B85C771A-B875-3619-00F2-F6FA7023B49D}"/>
            </a:ext>
          </a:extLst>
        </xdr:cNvPr>
        <xdr:cNvSpPr/>
      </xdr:nvSpPr>
      <xdr:spPr>
        <a:xfrm>
          <a:off x="20645875" y="9547676"/>
          <a:ext cx="1548000" cy="2226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User Req.</a:t>
          </a:r>
        </a:p>
      </xdr:txBody>
    </xdr:sp>
    <xdr:clientData/>
  </xdr:twoCellAnchor>
  <xdr:twoCellAnchor>
    <xdr:from>
      <xdr:col>103</xdr:col>
      <xdr:colOff>42165</xdr:colOff>
      <xdr:row>9</xdr:row>
      <xdr:rowOff>1332162</xdr:rowOff>
    </xdr:from>
    <xdr:to>
      <xdr:col>108</xdr:col>
      <xdr:colOff>306540</xdr:colOff>
      <xdr:row>9</xdr:row>
      <xdr:rowOff>1558777</xdr:rowOff>
    </xdr:to>
    <xdr:sp macro="" textlink="">
      <xdr:nvSpPr>
        <xdr:cNvPr id="3312" name="Retângulo 3311">
          <a:extLst>
            <a:ext uri="{FF2B5EF4-FFF2-40B4-BE49-F238E27FC236}">
              <a16:creationId xmlns:a16="http://schemas.microsoft.com/office/drawing/2014/main" id="{8BE21D72-2802-AE7D-4E20-119E211DF55C}"/>
            </a:ext>
          </a:extLst>
        </xdr:cNvPr>
        <xdr:cNvSpPr/>
      </xdr:nvSpPr>
      <xdr:spPr>
        <a:xfrm>
          <a:off x="22311615" y="6123237"/>
          <a:ext cx="1836000" cy="2266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120</xdr:col>
      <xdr:colOff>166085</xdr:colOff>
      <xdr:row>9</xdr:row>
      <xdr:rowOff>1594527</xdr:rowOff>
    </xdr:from>
    <xdr:to>
      <xdr:col>123</xdr:col>
      <xdr:colOff>9525</xdr:colOff>
      <xdr:row>9</xdr:row>
      <xdr:rowOff>1800224</xdr:rowOff>
    </xdr:to>
    <xdr:sp macro="" textlink="">
      <xdr:nvSpPr>
        <xdr:cNvPr id="3333" name="Retângulo 3332">
          <a:extLst>
            <a:ext uri="{FF2B5EF4-FFF2-40B4-BE49-F238E27FC236}">
              <a16:creationId xmlns:a16="http://schemas.microsoft.com/office/drawing/2014/main" id="{1C1A55F5-E567-CC0B-28BD-B6F01E533E4B}"/>
            </a:ext>
          </a:extLst>
        </xdr:cNvPr>
        <xdr:cNvSpPr/>
      </xdr:nvSpPr>
      <xdr:spPr>
        <a:xfrm>
          <a:off x="27912410" y="6385602"/>
          <a:ext cx="786415" cy="20569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106</xdr:col>
      <xdr:colOff>3062</xdr:colOff>
      <xdr:row>9</xdr:row>
      <xdr:rowOff>1571625</xdr:rowOff>
    </xdr:from>
    <xdr:to>
      <xdr:col>108</xdr:col>
      <xdr:colOff>285750</xdr:colOff>
      <xdr:row>9</xdr:row>
      <xdr:rowOff>1744047</xdr:rowOff>
    </xdr:to>
    <xdr:sp macro="" textlink="">
      <xdr:nvSpPr>
        <xdr:cNvPr id="3334" name="Retângulo 3333">
          <a:extLst>
            <a:ext uri="{FF2B5EF4-FFF2-40B4-BE49-F238E27FC236}">
              <a16:creationId xmlns:a16="http://schemas.microsoft.com/office/drawing/2014/main" id="{49AB0300-2A36-4EDD-E956-5069892B57DF}"/>
            </a:ext>
          </a:extLst>
        </xdr:cNvPr>
        <xdr:cNvSpPr/>
      </xdr:nvSpPr>
      <xdr:spPr>
        <a:xfrm>
          <a:off x="23348837" y="6362700"/>
          <a:ext cx="911338" cy="1724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oneCellAnchor>
    <xdr:from>
      <xdr:col>98</xdr:col>
      <xdr:colOff>171450</xdr:colOff>
      <xdr:row>22</xdr:row>
      <xdr:rowOff>0</xdr:rowOff>
    </xdr:from>
    <xdr:ext cx="704850" cy="266700"/>
    <xdr:sp macro="" textlink="">
      <xdr:nvSpPr>
        <xdr:cNvPr id="3250" name="CaixaDeTexto 3249">
          <a:extLst>
            <a:ext uri="{FF2B5EF4-FFF2-40B4-BE49-F238E27FC236}">
              <a16:creationId xmlns:a16="http://schemas.microsoft.com/office/drawing/2014/main" id="{CFD5ADC8-31F0-1C13-6227-8FD86DAE2BE8}"/>
            </a:ext>
            <a:ext uri="{147F2762-F138-4A5C-976F-8EAC2B608ADB}">
              <a16:predDERef xmlns:a16="http://schemas.microsoft.com/office/drawing/2014/main" pred="{3981BF46-B1E0-1A5B-F25D-F2E79F7AF037}"/>
            </a:ext>
          </a:extLst>
        </xdr:cNvPr>
        <xdr:cNvSpPr txBox="1"/>
      </xdr:nvSpPr>
      <xdr:spPr>
        <a:xfrm>
          <a:off x="20497800" y="11125200"/>
          <a:ext cx="7048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/>
            <a:t>SAP</a:t>
          </a:r>
          <a:endParaRPr lang="pt-BR" sz="1100" i="1"/>
        </a:p>
      </xdr:txBody>
    </xdr:sp>
    <xdr:clientData/>
  </xdr:oneCellAnchor>
  <xdr:twoCellAnchor>
    <xdr:from>
      <xdr:col>3</xdr:col>
      <xdr:colOff>160153</xdr:colOff>
      <xdr:row>41</xdr:row>
      <xdr:rowOff>293731</xdr:rowOff>
    </xdr:from>
    <xdr:to>
      <xdr:col>3</xdr:col>
      <xdr:colOff>484153</xdr:colOff>
      <xdr:row>42</xdr:row>
      <xdr:rowOff>283455</xdr:rowOff>
    </xdr:to>
    <xdr:sp macro="" textlink="">
      <xdr:nvSpPr>
        <xdr:cNvPr id="3270" name="Triângulo isósceles 3269">
          <a:extLst>
            <a:ext uri="{FF2B5EF4-FFF2-40B4-BE49-F238E27FC236}">
              <a16:creationId xmlns:a16="http://schemas.microsoft.com/office/drawing/2014/main" id="{492DED76-A347-4D09-E485-7FCDD31EFFC5}"/>
            </a:ext>
          </a:extLst>
        </xdr:cNvPr>
        <xdr:cNvSpPr/>
      </xdr:nvSpPr>
      <xdr:spPr>
        <a:xfrm>
          <a:off x="5521367" y="32642445"/>
          <a:ext cx="324000" cy="298153"/>
        </a:xfrm>
        <a:prstGeom prst="triangl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124</xdr:col>
      <xdr:colOff>216263</xdr:colOff>
      <xdr:row>62</xdr:row>
      <xdr:rowOff>228420</xdr:rowOff>
    </xdr:from>
    <xdr:to>
      <xdr:col>127</xdr:col>
      <xdr:colOff>312294</xdr:colOff>
      <xdr:row>64</xdr:row>
      <xdr:rowOff>31229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1D4E953-8D9F-441E-9876-775A3B2BAAFB}"/>
            </a:ext>
          </a:extLst>
        </xdr:cNvPr>
        <xdr:cNvSpPr/>
      </xdr:nvSpPr>
      <xdr:spPr>
        <a:xfrm>
          <a:off x="30779542" y="20548420"/>
          <a:ext cx="1095375" cy="260842"/>
        </a:xfrm>
        <a:prstGeom prst="rect">
          <a:avLst/>
        </a:prstGeom>
        <a:solidFill>
          <a:srgbClr val="FFC0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Conception</a:t>
          </a:r>
        </a:p>
      </xdr:txBody>
    </xdr:sp>
    <xdr:clientData/>
  </xdr:twoCellAnchor>
  <xdr:twoCellAnchor>
    <xdr:from>
      <xdr:col>107</xdr:col>
      <xdr:colOff>31619</xdr:colOff>
      <xdr:row>26</xdr:row>
      <xdr:rowOff>199350</xdr:rowOff>
    </xdr:from>
    <xdr:to>
      <xdr:col>109</xdr:col>
      <xdr:colOff>14969</xdr:colOff>
      <xdr:row>26</xdr:row>
      <xdr:rowOff>415350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D7FBAB6F-BFD4-8D49-FC39-E3E792768289}"/>
            </a:ext>
          </a:extLst>
        </xdr:cNvPr>
        <xdr:cNvSpPr/>
      </xdr:nvSpPr>
      <xdr:spPr>
        <a:xfrm>
          <a:off x="23186894" y="13772475"/>
          <a:ext cx="612000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Code review </a:t>
          </a:r>
        </a:p>
      </xdr:txBody>
    </xdr:sp>
    <xdr:clientData/>
  </xdr:twoCellAnchor>
  <xdr:twoCellAnchor>
    <xdr:from>
      <xdr:col>108</xdr:col>
      <xdr:colOff>3044</xdr:colOff>
      <xdr:row>26</xdr:row>
      <xdr:rowOff>427950</xdr:rowOff>
    </xdr:from>
    <xdr:to>
      <xdr:col>109</xdr:col>
      <xdr:colOff>12719</xdr:colOff>
      <xdr:row>26</xdr:row>
      <xdr:rowOff>643950</xdr:rowOff>
    </xdr:to>
    <xdr:sp macro="" textlink="">
      <xdr:nvSpPr>
        <xdr:cNvPr id="3140" name="Retângulo 3139">
          <a:extLst>
            <a:ext uri="{FF2B5EF4-FFF2-40B4-BE49-F238E27FC236}">
              <a16:creationId xmlns:a16="http://schemas.microsoft.com/office/drawing/2014/main" id="{08DD3EA5-1684-2C7E-9B39-7E3AF0D72159}"/>
            </a:ext>
          </a:extLst>
        </xdr:cNvPr>
        <xdr:cNvSpPr/>
      </xdr:nvSpPr>
      <xdr:spPr>
        <a:xfrm>
          <a:off x="23977469" y="8009850"/>
          <a:ext cx="324000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120</xdr:col>
      <xdr:colOff>214023</xdr:colOff>
      <xdr:row>26</xdr:row>
      <xdr:rowOff>441192</xdr:rowOff>
    </xdr:from>
    <xdr:to>
      <xdr:col>125</xdr:col>
      <xdr:colOff>3595</xdr:colOff>
      <xdr:row>26</xdr:row>
      <xdr:rowOff>657192</xdr:rowOff>
    </xdr:to>
    <xdr:sp macro="" textlink="">
      <xdr:nvSpPr>
        <xdr:cNvPr id="3142" name="Retângulo 3141">
          <a:extLst>
            <a:ext uri="{FF2B5EF4-FFF2-40B4-BE49-F238E27FC236}">
              <a16:creationId xmlns:a16="http://schemas.microsoft.com/office/drawing/2014/main" id="{D0E4DF3C-B65F-089F-5B58-931EB3A26991}"/>
            </a:ext>
          </a:extLst>
        </xdr:cNvPr>
        <xdr:cNvSpPr/>
      </xdr:nvSpPr>
      <xdr:spPr>
        <a:xfrm>
          <a:off x="28418909" y="9095335"/>
          <a:ext cx="1368000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125</xdr:col>
      <xdr:colOff>93876</xdr:colOff>
      <xdr:row>26</xdr:row>
      <xdr:rowOff>444233</xdr:rowOff>
    </xdr:from>
    <xdr:to>
      <xdr:col>125</xdr:col>
      <xdr:colOff>236422</xdr:colOff>
      <xdr:row>26</xdr:row>
      <xdr:rowOff>590909</xdr:rowOff>
    </xdr:to>
    <xdr:sp macro="" textlink="">
      <xdr:nvSpPr>
        <xdr:cNvPr id="3143" name="Estrela: 5 Pontas 3142">
          <a:extLst>
            <a:ext uri="{FF2B5EF4-FFF2-40B4-BE49-F238E27FC236}">
              <a16:creationId xmlns:a16="http://schemas.microsoft.com/office/drawing/2014/main" id="{CC995560-FB22-CE77-2BDB-0CC426D65B4B}"/>
            </a:ext>
          </a:extLst>
        </xdr:cNvPr>
        <xdr:cNvSpPr/>
      </xdr:nvSpPr>
      <xdr:spPr>
        <a:xfrm>
          <a:off x="29877190" y="9098376"/>
          <a:ext cx="142546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124</xdr:col>
      <xdr:colOff>205796</xdr:colOff>
      <xdr:row>26</xdr:row>
      <xdr:rowOff>228922</xdr:rowOff>
    </xdr:from>
    <xdr:ext cx="495300" cy="264560"/>
    <xdr:sp macro="" textlink="">
      <xdr:nvSpPr>
        <xdr:cNvPr id="3144" name="CaixaDeTexto 3143">
          <a:extLst>
            <a:ext uri="{FF2B5EF4-FFF2-40B4-BE49-F238E27FC236}">
              <a16:creationId xmlns:a16="http://schemas.microsoft.com/office/drawing/2014/main" id="{8E374CD1-F95E-01C2-F7EE-1283E305ABA3}"/>
            </a:ext>
          </a:extLst>
        </xdr:cNvPr>
        <xdr:cNvSpPr txBox="1"/>
      </xdr:nvSpPr>
      <xdr:spPr>
        <a:xfrm>
          <a:off x="29673425" y="8883065"/>
          <a:ext cx="49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  <xdr:twoCellAnchor>
    <xdr:from>
      <xdr:col>106</xdr:col>
      <xdr:colOff>259555</xdr:colOff>
      <xdr:row>25</xdr:row>
      <xdr:rowOff>184818</xdr:rowOff>
    </xdr:from>
    <xdr:to>
      <xdr:col>107</xdr:col>
      <xdr:colOff>88336</xdr:colOff>
      <xdr:row>26</xdr:row>
      <xdr:rowOff>107376</xdr:rowOff>
    </xdr:to>
    <xdr:sp macro="" textlink="">
      <xdr:nvSpPr>
        <xdr:cNvPr id="3182" name="Estrela: 5 Pontas 3181">
          <a:extLst>
            <a:ext uri="{FF2B5EF4-FFF2-40B4-BE49-F238E27FC236}">
              <a16:creationId xmlns:a16="http://schemas.microsoft.com/office/drawing/2014/main" id="{B0AD276D-1C21-2F07-5D1D-FBA03A52579C}"/>
            </a:ext>
          </a:extLst>
        </xdr:cNvPr>
        <xdr:cNvSpPr/>
      </xdr:nvSpPr>
      <xdr:spPr>
        <a:xfrm>
          <a:off x="23085937" y="13519818"/>
          <a:ext cx="142546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105</xdr:col>
      <xdr:colOff>304241</xdr:colOff>
      <xdr:row>23</xdr:row>
      <xdr:rowOff>194425</xdr:rowOff>
    </xdr:from>
    <xdr:ext cx="749111" cy="436786"/>
    <xdr:sp macro="" textlink="">
      <xdr:nvSpPr>
        <xdr:cNvPr id="3183" name="CaixaDeTexto 3182">
          <a:extLst>
            <a:ext uri="{FF2B5EF4-FFF2-40B4-BE49-F238E27FC236}">
              <a16:creationId xmlns:a16="http://schemas.microsoft.com/office/drawing/2014/main" id="{E5FDEC27-13A0-013C-0403-0BCB13945B6A}"/>
            </a:ext>
          </a:extLst>
        </xdr:cNvPr>
        <xdr:cNvSpPr txBox="1"/>
      </xdr:nvSpPr>
      <xdr:spPr>
        <a:xfrm>
          <a:off x="22816859" y="13081190"/>
          <a:ext cx="74911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Knownledge Transfer </a:t>
          </a:r>
        </a:p>
      </xdr:txBody>
    </xdr:sp>
    <xdr:clientData/>
  </xdr:oneCellAnchor>
  <xdr:twoCellAnchor>
    <xdr:from>
      <xdr:col>108</xdr:col>
      <xdr:colOff>18731</xdr:colOff>
      <xdr:row>32</xdr:row>
      <xdr:rowOff>85049</xdr:rowOff>
    </xdr:from>
    <xdr:to>
      <xdr:col>109</xdr:col>
      <xdr:colOff>304799</xdr:colOff>
      <xdr:row>32</xdr:row>
      <xdr:rowOff>561974</xdr:rowOff>
    </xdr:to>
    <xdr:sp macro="" textlink="">
      <xdr:nvSpPr>
        <xdr:cNvPr id="3292" name="Retângulo 3291">
          <a:extLst>
            <a:ext uri="{FF2B5EF4-FFF2-40B4-BE49-F238E27FC236}">
              <a16:creationId xmlns:a16="http://schemas.microsoft.com/office/drawing/2014/main" id="{7336421E-4293-2C24-3EAD-A339A5E2584F}"/>
            </a:ext>
          </a:extLst>
        </xdr:cNvPr>
        <xdr:cNvSpPr/>
      </xdr:nvSpPr>
      <xdr:spPr>
        <a:xfrm>
          <a:off x="23993156" y="9743399"/>
          <a:ext cx="600393" cy="4769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Impact</a:t>
          </a:r>
          <a:r>
            <a:rPr lang="pt-BR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analyze</a:t>
          </a:r>
          <a:endParaRPr lang="pt-BR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109</xdr:col>
      <xdr:colOff>8646</xdr:colOff>
      <xdr:row>32</xdr:row>
      <xdr:rowOff>571499</xdr:rowOff>
    </xdr:from>
    <xdr:to>
      <xdr:col>111</xdr:col>
      <xdr:colOff>9525</xdr:colOff>
      <xdr:row>32</xdr:row>
      <xdr:rowOff>809624</xdr:rowOff>
    </xdr:to>
    <xdr:sp macro="" textlink="">
      <xdr:nvSpPr>
        <xdr:cNvPr id="3294" name="Retângulo 3293">
          <a:extLst>
            <a:ext uri="{FF2B5EF4-FFF2-40B4-BE49-F238E27FC236}">
              <a16:creationId xmlns:a16="http://schemas.microsoft.com/office/drawing/2014/main" id="{9B40C596-61DC-E9D0-B19D-6805785987DB}"/>
            </a:ext>
          </a:extLst>
        </xdr:cNvPr>
        <xdr:cNvSpPr/>
      </xdr:nvSpPr>
      <xdr:spPr>
        <a:xfrm>
          <a:off x="24297396" y="10229849"/>
          <a:ext cx="629529" cy="238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Development</a:t>
          </a:r>
        </a:p>
      </xdr:txBody>
    </xdr:sp>
    <xdr:clientData/>
  </xdr:twoCellAnchor>
  <xdr:twoCellAnchor>
    <xdr:from>
      <xdr:col>109</xdr:col>
      <xdr:colOff>36349</xdr:colOff>
      <xdr:row>61</xdr:row>
      <xdr:rowOff>190496</xdr:rowOff>
    </xdr:from>
    <xdr:to>
      <xdr:col>112</xdr:col>
      <xdr:colOff>16565</xdr:colOff>
      <xdr:row>62</xdr:row>
      <xdr:rowOff>191738</xdr:rowOff>
    </xdr:to>
    <xdr:sp macro="" textlink="">
      <xdr:nvSpPr>
        <xdr:cNvPr id="3264" name="Retângulo 4170">
          <a:extLst>
            <a:ext uri="{FF2B5EF4-FFF2-40B4-BE49-F238E27FC236}">
              <a16:creationId xmlns:a16="http://schemas.microsoft.com/office/drawing/2014/main" id="{A69ABE4B-462F-C894-66F4-E619FDB9DB89}"/>
            </a:ext>
          </a:extLst>
        </xdr:cNvPr>
        <xdr:cNvSpPr/>
      </xdr:nvSpPr>
      <xdr:spPr>
        <a:xfrm>
          <a:off x="24345806" y="24549648"/>
          <a:ext cx="924433" cy="2331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Dash  Dev</a:t>
          </a:r>
        </a:p>
      </xdr:txBody>
    </xdr:sp>
    <xdr:clientData/>
  </xdr:twoCellAnchor>
  <xdr:twoCellAnchor>
    <xdr:from>
      <xdr:col>111</xdr:col>
      <xdr:colOff>7838</xdr:colOff>
      <xdr:row>62</xdr:row>
      <xdr:rowOff>224455</xdr:rowOff>
    </xdr:from>
    <xdr:to>
      <xdr:col>112</xdr:col>
      <xdr:colOff>197099</xdr:colOff>
      <xdr:row>64</xdr:row>
      <xdr:rowOff>9959</xdr:rowOff>
    </xdr:to>
    <xdr:sp macro="" textlink="">
      <xdr:nvSpPr>
        <xdr:cNvPr id="3266" name="Retângulo 4171">
          <a:extLst>
            <a:ext uri="{FF2B5EF4-FFF2-40B4-BE49-F238E27FC236}">
              <a16:creationId xmlns:a16="http://schemas.microsoft.com/office/drawing/2014/main" id="{CCCB0D39-498F-67DA-CFDB-1008526C63BF}"/>
            </a:ext>
          </a:extLst>
        </xdr:cNvPr>
        <xdr:cNvSpPr/>
      </xdr:nvSpPr>
      <xdr:spPr>
        <a:xfrm>
          <a:off x="24946773" y="24815520"/>
          <a:ext cx="504000" cy="24933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Tests</a:t>
          </a:r>
        </a:p>
      </xdr:txBody>
    </xdr:sp>
    <xdr:clientData/>
  </xdr:twoCellAnchor>
  <xdr:twoCellAnchor>
    <xdr:from>
      <xdr:col>112</xdr:col>
      <xdr:colOff>210117</xdr:colOff>
      <xdr:row>63</xdr:row>
      <xdr:rowOff>337</xdr:rowOff>
    </xdr:from>
    <xdr:to>
      <xdr:col>113</xdr:col>
      <xdr:colOff>292352</xdr:colOff>
      <xdr:row>64</xdr:row>
      <xdr:rowOff>9959</xdr:rowOff>
    </xdr:to>
    <xdr:sp macro="" textlink="">
      <xdr:nvSpPr>
        <xdr:cNvPr id="3267" name="Retângulo 4172">
          <a:extLst>
            <a:ext uri="{FF2B5EF4-FFF2-40B4-BE49-F238E27FC236}">
              <a16:creationId xmlns:a16="http://schemas.microsoft.com/office/drawing/2014/main" id="{E745B443-6A8D-56FA-3842-0C614796BD22}"/>
            </a:ext>
          </a:extLst>
        </xdr:cNvPr>
        <xdr:cNvSpPr/>
      </xdr:nvSpPr>
      <xdr:spPr>
        <a:xfrm>
          <a:off x="25423352" y="24126602"/>
          <a:ext cx="396000" cy="2337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123</xdr:col>
      <xdr:colOff>277788</xdr:colOff>
      <xdr:row>63</xdr:row>
      <xdr:rowOff>57936</xdr:rowOff>
    </xdr:from>
    <xdr:to>
      <xdr:col>124</xdr:col>
      <xdr:colOff>93358</xdr:colOff>
      <xdr:row>63</xdr:row>
      <xdr:rowOff>177791</xdr:rowOff>
    </xdr:to>
    <xdr:sp macro="" textlink="">
      <xdr:nvSpPr>
        <xdr:cNvPr id="3271" name="Estrela: 5 Pontas 3270">
          <a:extLst>
            <a:ext uri="{FF2B5EF4-FFF2-40B4-BE49-F238E27FC236}">
              <a16:creationId xmlns:a16="http://schemas.microsoft.com/office/drawing/2014/main" id="{B3845AED-A5A1-DDDF-D1F2-3F9CF2B2EA08}"/>
            </a:ext>
          </a:extLst>
        </xdr:cNvPr>
        <xdr:cNvSpPr/>
      </xdr:nvSpPr>
      <xdr:spPr>
        <a:xfrm>
          <a:off x="29429731" y="20610165"/>
          <a:ext cx="131256" cy="119855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123</xdr:col>
      <xdr:colOff>101058</xdr:colOff>
      <xdr:row>61</xdr:row>
      <xdr:rowOff>193564</xdr:rowOff>
    </xdr:from>
    <xdr:ext cx="507771" cy="202741"/>
    <xdr:sp macro="" textlink="">
      <xdr:nvSpPr>
        <xdr:cNvPr id="3272" name="CaixaDeTexto 3094">
          <a:extLst>
            <a:ext uri="{FF2B5EF4-FFF2-40B4-BE49-F238E27FC236}">
              <a16:creationId xmlns:a16="http://schemas.microsoft.com/office/drawing/2014/main" id="{722A48E0-859C-AE6D-54B6-9FC71B1362D2}"/>
            </a:ext>
          </a:extLst>
        </xdr:cNvPr>
        <xdr:cNvSpPr txBox="1"/>
      </xdr:nvSpPr>
      <xdr:spPr>
        <a:xfrm>
          <a:off x="29253001" y="20288593"/>
          <a:ext cx="507771" cy="202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l"/>
          <a:r>
            <a:rPr lang="pt-B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Go-Live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</xdr:col>
      <xdr:colOff>150586</xdr:colOff>
      <xdr:row>25</xdr:row>
      <xdr:rowOff>179162</xdr:rowOff>
    </xdr:from>
    <xdr:to>
      <xdr:col>3</xdr:col>
      <xdr:colOff>474586</xdr:colOff>
      <xdr:row>26</xdr:row>
      <xdr:rowOff>256419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B209E674-99FC-F305-0EC0-E64CE58ADE24}"/>
            </a:ext>
          </a:extLst>
        </xdr:cNvPr>
        <xdr:cNvSpPr/>
      </xdr:nvSpPr>
      <xdr:spPr>
        <a:xfrm>
          <a:off x="5265511" y="10294712"/>
          <a:ext cx="324000" cy="305857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109</xdr:col>
      <xdr:colOff>3062</xdr:colOff>
      <xdr:row>9</xdr:row>
      <xdr:rowOff>1352549</xdr:rowOff>
    </xdr:from>
    <xdr:to>
      <xdr:col>114</xdr:col>
      <xdr:colOff>295275</xdr:colOff>
      <xdr:row>9</xdr:row>
      <xdr:rowOff>1762124</xdr:rowOff>
    </xdr:to>
    <xdr:sp macro="" textlink="">
      <xdr:nvSpPr>
        <xdr:cNvPr id="3228" name="Retângulo 3227">
          <a:extLst>
            <a:ext uri="{FF2B5EF4-FFF2-40B4-BE49-F238E27FC236}">
              <a16:creationId xmlns:a16="http://schemas.microsoft.com/office/drawing/2014/main" id="{DD434E9E-E5C1-D192-8BDC-170D49CF45EE}"/>
            </a:ext>
          </a:extLst>
        </xdr:cNvPr>
        <xdr:cNvSpPr/>
      </xdr:nvSpPr>
      <xdr:spPr>
        <a:xfrm>
          <a:off x="24291812" y="6143624"/>
          <a:ext cx="1863838" cy="409575"/>
        </a:xfrm>
        <a:prstGeom prst="rect">
          <a:avLst/>
        </a:prstGeom>
        <a:solidFill>
          <a:srgbClr val="DDDDDD"/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Raising information to solve conflict</a:t>
          </a:r>
        </a:p>
      </xdr:txBody>
    </xdr:sp>
    <xdr:clientData/>
  </xdr:twoCellAnchor>
  <xdr:twoCellAnchor>
    <xdr:from>
      <xdr:col>115</xdr:col>
      <xdr:colOff>13590</xdr:colOff>
      <xdr:row>9</xdr:row>
      <xdr:rowOff>1351212</xdr:rowOff>
    </xdr:from>
    <xdr:to>
      <xdr:col>118</xdr:col>
      <xdr:colOff>294615</xdr:colOff>
      <xdr:row>9</xdr:row>
      <xdr:rowOff>1577827</xdr:rowOff>
    </xdr:to>
    <xdr:sp macro="" textlink="">
      <xdr:nvSpPr>
        <xdr:cNvPr id="3231" name="Retângulo 3230">
          <a:extLst>
            <a:ext uri="{FF2B5EF4-FFF2-40B4-BE49-F238E27FC236}">
              <a16:creationId xmlns:a16="http://schemas.microsoft.com/office/drawing/2014/main" id="{DE2ACE12-CAF2-BBB4-9077-7205B9E7AE37}"/>
            </a:ext>
          </a:extLst>
        </xdr:cNvPr>
        <xdr:cNvSpPr/>
      </xdr:nvSpPr>
      <xdr:spPr>
        <a:xfrm>
          <a:off x="26188290" y="6142287"/>
          <a:ext cx="1224000" cy="2266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119</xdr:col>
      <xdr:colOff>12587</xdr:colOff>
      <xdr:row>9</xdr:row>
      <xdr:rowOff>1352549</xdr:rowOff>
    </xdr:from>
    <xdr:to>
      <xdr:col>121</xdr:col>
      <xdr:colOff>295275</xdr:colOff>
      <xdr:row>9</xdr:row>
      <xdr:rowOff>1590674</xdr:rowOff>
    </xdr:to>
    <xdr:sp macro="" textlink="">
      <xdr:nvSpPr>
        <xdr:cNvPr id="3234" name="Retângulo 3233">
          <a:extLst>
            <a:ext uri="{FF2B5EF4-FFF2-40B4-BE49-F238E27FC236}">
              <a16:creationId xmlns:a16="http://schemas.microsoft.com/office/drawing/2014/main" id="{DB57263E-9513-0AA9-83DC-C6C3D87C0E67}"/>
            </a:ext>
          </a:extLst>
        </xdr:cNvPr>
        <xdr:cNvSpPr/>
      </xdr:nvSpPr>
      <xdr:spPr>
        <a:xfrm>
          <a:off x="27444587" y="6143624"/>
          <a:ext cx="911338" cy="2381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123</xdr:col>
      <xdr:colOff>113878</xdr:colOff>
      <xdr:row>9</xdr:row>
      <xdr:rowOff>1404017</xdr:rowOff>
    </xdr:from>
    <xdr:to>
      <xdr:col>123</xdr:col>
      <xdr:colOff>256424</xdr:colOff>
      <xdr:row>9</xdr:row>
      <xdr:rowOff>1550693</xdr:rowOff>
    </xdr:to>
    <xdr:sp macro="" textlink="">
      <xdr:nvSpPr>
        <xdr:cNvPr id="3237" name="Estrela: 5 Pontas 3236">
          <a:extLst>
            <a:ext uri="{FF2B5EF4-FFF2-40B4-BE49-F238E27FC236}">
              <a16:creationId xmlns:a16="http://schemas.microsoft.com/office/drawing/2014/main" id="{0AEDCEA0-B45A-734A-0ABC-C58CD1B93183}"/>
            </a:ext>
          </a:extLst>
        </xdr:cNvPr>
        <xdr:cNvSpPr/>
      </xdr:nvSpPr>
      <xdr:spPr>
        <a:xfrm>
          <a:off x="28803178" y="6195092"/>
          <a:ext cx="142546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109</xdr:col>
      <xdr:colOff>20370</xdr:colOff>
      <xdr:row>9</xdr:row>
      <xdr:rowOff>320389</xdr:rowOff>
    </xdr:from>
    <xdr:to>
      <xdr:col>112</xdr:col>
      <xdr:colOff>13395</xdr:colOff>
      <xdr:row>9</xdr:row>
      <xdr:rowOff>539058</xdr:rowOff>
    </xdr:to>
    <xdr:sp macro="" textlink="">
      <xdr:nvSpPr>
        <xdr:cNvPr id="3239" name="Retângulo 3238">
          <a:extLst>
            <a:ext uri="{FF2B5EF4-FFF2-40B4-BE49-F238E27FC236}">
              <a16:creationId xmlns:a16="http://schemas.microsoft.com/office/drawing/2014/main" id="{42A4543D-F186-745A-0290-601F833B1135}"/>
            </a:ext>
          </a:extLst>
        </xdr:cNvPr>
        <xdr:cNvSpPr/>
      </xdr:nvSpPr>
      <xdr:spPr>
        <a:xfrm>
          <a:off x="24309120" y="5111464"/>
          <a:ext cx="936000" cy="218669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KT</a:t>
          </a:r>
        </a:p>
      </xdr:txBody>
    </xdr:sp>
    <xdr:clientData/>
  </xdr:twoCellAnchor>
  <xdr:twoCellAnchor>
    <xdr:from>
      <xdr:col>112</xdr:col>
      <xdr:colOff>33256</xdr:colOff>
      <xdr:row>9</xdr:row>
      <xdr:rowOff>320390</xdr:rowOff>
    </xdr:from>
    <xdr:to>
      <xdr:col>113</xdr:col>
      <xdr:colOff>294931</xdr:colOff>
      <xdr:row>9</xdr:row>
      <xdr:rowOff>539059</xdr:rowOff>
    </xdr:to>
    <xdr:sp macro="" textlink="">
      <xdr:nvSpPr>
        <xdr:cNvPr id="3244" name="Retângulo 3243">
          <a:extLst>
            <a:ext uri="{FF2B5EF4-FFF2-40B4-BE49-F238E27FC236}">
              <a16:creationId xmlns:a16="http://schemas.microsoft.com/office/drawing/2014/main" id="{B696F3A9-391F-97AA-67DF-3AF400CEE4DA}"/>
            </a:ext>
          </a:extLst>
        </xdr:cNvPr>
        <xdr:cNvSpPr/>
      </xdr:nvSpPr>
      <xdr:spPr>
        <a:xfrm>
          <a:off x="25264981" y="2234915"/>
          <a:ext cx="576000" cy="2186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116</xdr:col>
      <xdr:colOff>132928</xdr:colOff>
      <xdr:row>9</xdr:row>
      <xdr:rowOff>337217</xdr:rowOff>
    </xdr:from>
    <xdr:to>
      <xdr:col>116</xdr:col>
      <xdr:colOff>275474</xdr:colOff>
      <xdr:row>9</xdr:row>
      <xdr:rowOff>483893</xdr:rowOff>
    </xdr:to>
    <xdr:sp macro="" textlink="">
      <xdr:nvSpPr>
        <xdr:cNvPr id="3246" name="Estrela: 5 Pontas 3245">
          <a:extLst>
            <a:ext uri="{FF2B5EF4-FFF2-40B4-BE49-F238E27FC236}">
              <a16:creationId xmlns:a16="http://schemas.microsoft.com/office/drawing/2014/main" id="{C96E2875-C65E-33A0-C067-2A0F294615E0}"/>
            </a:ext>
          </a:extLst>
        </xdr:cNvPr>
        <xdr:cNvSpPr/>
      </xdr:nvSpPr>
      <xdr:spPr>
        <a:xfrm>
          <a:off x="26621953" y="2251742"/>
          <a:ext cx="142546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110</xdr:col>
      <xdr:colOff>241169</xdr:colOff>
      <xdr:row>26</xdr:row>
      <xdr:rowOff>447000</xdr:rowOff>
    </xdr:from>
    <xdr:to>
      <xdr:col>113</xdr:col>
      <xdr:colOff>306194</xdr:colOff>
      <xdr:row>26</xdr:row>
      <xdr:rowOff>663000</xdr:rowOff>
    </xdr:to>
    <xdr:sp macro="" textlink="">
      <xdr:nvSpPr>
        <xdr:cNvPr id="3204" name="Retângulo 3203">
          <a:extLst>
            <a:ext uri="{FF2B5EF4-FFF2-40B4-BE49-F238E27FC236}">
              <a16:creationId xmlns:a16="http://schemas.microsoft.com/office/drawing/2014/main" id="{082B61C0-1241-7A28-A2EB-0895C147E769}"/>
            </a:ext>
          </a:extLst>
        </xdr:cNvPr>
        <xdr:cNvSpPr/>
      </xdr:nvSpPr>
      <xdr:spPr>
        <a:xfrm>
          <a:off x="24844244" y="5038050"/>
          <a:ext cx="1008000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109</xdr:col>
      <xdr:colOff>22094</xdr:colOff>
      <xdr:row>26</xdr:row>
      <xdr:rowOff>437475</xdr:rowOff>
    </xdr:from>
    <xdr:to>
      <xdr:col>110</xdr:col>
      <xdr:colOff>211769</xdr:colOff>
      <xdr:row>26</xdr:row>
      <xdr:rowOff>653475</xdr:rowOff>
    </xdr:to>
    <xdr:sp macro="" textlink="">
      <xdr:nvSpPr>
        <xdr:cNvPr id="3205" name="Retângulo 3204">
          <a:extLst>
            <a:ext uri="{FF2B5EF4-FFF2-40B4-BE49-F238E27FC236}">
              <a16:creationId xmlns:a16="http://schemas.microsoft.com/office/drawing/2014/main" id="{BA2F919C-ED26-168D-F253-89FF0AFF3BAC}"/>
            </a:ext>
          </a:extLst>
        </xdr:cNvPr>
        <xdr:cNvSpPr/>
      </xdr:nvSpPr>
      <xdr:spPr>
        <a:xfrm>
          <a:off x="24310844" y="8019375"/>
          <a:ext cx="504000" cy="21600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SAP outage</a:t>
          </a:r>
        </a:p>
      </xdr:txBody>
    </xdr:sp>
    <xdr:clientData/>
  </xdr:twoCellAnchor>
  <xdr:twoCellAnchor>
    <xdr:from>
      <xdr:col>125</xdr:col>
      <xdr:colOff>36181</xdr:colOff>
      <xdr:row>32</xdr:row>
      <xdr:rowOff>580350</xdr:rowOff>
    </xdr:from>
    <xdr:to>
      <xdr:col>126</xdr:col>
      <xdr:colOff>290811</xdr:colOff>
      <xdr:row>32</xdr:row>
      <xdr:rowOff>796350</xdr:rowOff>
    </xdr:to>
    <xdr:sp macro="" textlink="">
      <xdr:nvSpPr>
        <xdr:cNvPr id="3212" name="Retângulo 3211">
          <a:extLst>
            <a:ext uri="{FF2B5EF4-FFF2-40B4-BE49-F238E27FC236}">
              <a16:creationId xmlns:a16="http://schemas.microsoft.com/office/drawing/2014/main" id="{15918B05-C999-2EBF-93D6-B725BF34A6B5}"/>
            </a:ext>
          </a:extLst>
        </xdr:cNvPr>
        <xdr:cNvSpPr/>
      </xdr:nvSpPr>
      <xdr:spPr>
        <a:xfrm>
          <a:off x="29819495" y="11302779"/>
          <a:ext cx="570316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127</xdr:col>
      <xdr:colOff>125721</xdr:colOff>
      <xdr:row>32</xdr:row>
      <xdr:rowOff>594392</xdr:rowOff>
    </xdr:from>
    <xdr:to>
      <xdr:col>127</xdr:col>
      <xdr:colOff>261223</xdr:colOff>
      <xdr:row>32</xdr:row>
      <xdr:rowOff>741068</xdr:rowOff>
    </xdr:to>
    <xdr:sp macro="" textlink="">
      <xdr:nvSpPr>
        <xdr:cNvPr id="3213" name="Estrela: 5 Pontas 3212">
          <a:extLst>
            <a:ext uri="{FF2B5EF4-FFF2-40B4-BE49-F238E27FC236}">
              <a16:creationId xmlns:a16="http://schemas.microsoft.com/office/drawing/2014/main" id="{448D2753-7A57-8388-AAB9-6DA045ECDFF8}"/>
            </a:ext>
          </a:extLst>
        </xdr:cNvPr>
        <xdr:cNvSpPr/>
      </xdr:nvSpPr>
      <xdr:spPr>
        <a:xfrm>
          <a:off x="30540407" y="11316821"/>
          <a:ext cx="135502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126</xdr:col>
      <xdr:colOff>230601</xdr:colOff>
      <xdr:row>32</xdr:row>
      <xdr:rowOff>321931</xdr:rowOff>
    </xdr:from>
    <xdr:ext cx="495300" cy="264560"/>
    <xdr:sp macro="" textlink="">
      <xdr:nvSpPr>
        <xdr:cNvPr id="3214" name="CaixaDeTexto 3213">
          <a:extLst>
            <a:ext uri="{FF2B5EF4-FFF2-40B4-BE49-F238E27FC236}">
              <a16:creationId xmlns:a16="http://schemas.microsoft.com/office/drawing/2014/main" id="{A279A686-B9CE-A1B3-F1D7-7A1973468D41}"/>
            </a:ext>
          </a:extLst>
        </xdr:cNvPr>
        <xdr:cNvSpPr txBox="1"/>
      </xdr:nvSpPr>
      <xdr:spPr>
        <a:xfrm>
          <a:off x="30329601" y="11044360"/>
          <a:ext cx="49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  <xdr:twoCellAnchor>
    <xdr:from>
      <xdr:col>121</xdr:col>
      <xdr:colOff>200827</xdr:colOff>
      <xdr:row>32</xdr:row>
      <xdr:rowOff>580350</xdr:rowOff>
    </xdr:from>
    <xdr:to>
      <xdr:col>124</xdr:col>
      <xdr:colOff>297769</xdr:colOff>
      <xdr:row>32</xdr:row>
      <xdr:rowOff>796350</xdr:rowOff>
    </xdr:to>
    <xdr:sp macro="" textlink="">
      <xdr:nvSpPr>
        <xdr:cNvPr id="3215" name="Retângulo 3214">
          <a:extLst>
            <a:ext uri="{FF2B5EF4-FFF2-40B4-BE49-F238E27FC236}">
              <a16:creationId xmlns:a16="http://schemas.microsoft.com/office/drawing/2014/main" id="{3796CCB9-FA36-3551-4029-7A63922DD93B}"/>
            </a:ext>
          </a:extLst>
        </xdr:cNvPr>
        <xdr:cNvSpPr/>
      </xdr:nvSpPr>
      <xdr:spPr>
        <a:xfrm>
          <a:off x="28721398" y="11302779"/>
          <a:ext cx="1044000" cy="2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109</xdr:col>
      <xdr:colOff>47622</xdr:colOff>
      <xdr:row>52</xdr:row>
      <xdr:rowOff>62720</xdr:rowOff>
    </xdr:from>
    <xdr:to>
      <xdr:col>123</xdr:col>
      <xdr:colOff>276226</xdr:colOff>
      <xdr:row>53</xdr:row>
      <xdr:rowOff>152400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71DF8BF0-B2E2-D58C-80BB-9C0C5E83E696}"/>
            </a:ext>
          </a:extLst>
        </xdr:cNvPr>
        <xdr:cNvSpPr/>
      </xdr:nvSpPr>
      <xdr:spPr>
        <a:xfrm>
          <a:off x="25041222" y="18055445"/>
          <a:ext cx="4762504" cy="31828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On-hold - license expirantion </a:t>
          </a:r>
        </a:p>
      </xdr:txBody>
    </xdr:sp>
    <xdr:clientData/>
  </xdr:twoCellAnchor>
  <xdr:oneCellAnchor>
    <xdr:from>
      <xdr:col>48</xdr:col>
      <xdr:colOff>141944</xdr:colOff>
      <xdr:row>68</xdr:row>
      <xdr:rowOff>0</xdr:rowOff>
    </xdr:from>
    <xdr:ext cx="184731" cy="280205"/>
    <xdr:sp macro="" textlink="">
      <xdr:nvSpPr>
        <xdr:cNvPr id="3277" name="CaixaDeTexto 3276">
          <a:extLst>
            <a:ext uri="{FF2B5EF4-FFF2-40B4-BE49-F238E27FC236}">
              <a16:creationId xmlns:a16="http://schemas.microsoft.com/office/drawing/2014/main" id="{119D60F6-44CE-476A-B36D-AE0C37B37F9C}"/>
            </a:ext>
          </a:extLst>
        </xdr:cNvPr>
        <xdr:cNvSpPr txBox="1"/>
      </xdr:nvSpPr>
      <xdr:spPr>
        <a:xfrm>
          <a:off x="13916025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68</xdr:row>
      <xdr:rowOff>0</xdr:rowOff>
    </xdr:from>
    <xdr:ext cx="184731" cy="280205"/>
    <xdr:sp macro="" textlink="">
      <xdr:nvSpPr>
        <xdr:cNvPr id="3278" name="CaixaDeTexto 3277">
          <a:extLst>
            <a:ext uri="{FF2B5EF4-FFF2-40B4-BE49-F238E27FC236}">
              <a16:creationId xmlns:a16="http://schemas.microsoft.com/office/drawing/2014/main" id="{CE4094B9-2F10-4809-A401-620D6E5F94B1}"/>
            </a:ext>
          </a:extLst>
        </xdr:cNvPr>
        <xdr:cNvSpPr txBox="1"/>
      </xdr:nvSpPr>
      <xdr:spPr>
        <a:xfrm>
          <a:off x="13916025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68</xdr:row>
      <xdr:rowOff>0</xdr:rowOff>
    </xdr:from>
    <xdr:ext cx="184731" cy="280205"/>
    <xdr:sp macro="" textlink="">
      <xdr:nvSpPr>
        <xdr:cNvPr id="3279" name="CaixaDeTexto 3278">
          <a:extLst>
            <a:ext uri="{FF2B5EF4-FFF2-40B4-BE49-F238E27FC236}">
              <a16:creationId xmlns:a16="http://schemas.microsoft.com/office/drawing/2014/main" id="{71B521E4-3EA7-4076-A04B-F216B4C5DB10}"/>
            </a:ext>
          </a:extLst>
        </xdr:cNvPr>
        <xdr:cNvSpPr txBox="1"/>
      </xdr:nvSpPr>
      <xdr:spPr>
        <a:xfrm>
          <a:off x="16096961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68</xdr:row>
      <xdr:rowOff>0</xdr:rowOff>
    </xdr:from>
    <xdr:ext cx="184731" cy="280205"/>
    <xdr:sp macro="" textlink="">
      <xdr:nvSpPr>
        <xdr:cNvPr id="3280" name="CaixaDeTexto 3279">
          <a:extLst>
            <a:ext uri="{FF2B5EF4-FFF2-40B4-BE49-F238E27FC236}">
              <a16:creationId xmlns:a16="http://schemas.microsoft.com/office/drawing/2014/main" id="{3C1A9034-52AF-416B-907C-5326149ADA53}"/>
            </a:ext>
          </a:extLst>
        </xdr:cNvPr>
        <xdr:cNvSpPr txBox="1"/>
      </xdr:nvSpPr>
      <xdr:spPr>
        <a:xfrm>
          <a:off x="14989899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68</xdr:row>
      <xdr:rowOff>0</xdr:rowOff>
    </xdr:from>
    <xdr:ext cx="184731" cy="280205"/>
    <xdr:sp macro="" textlink="">
      <xdr:nvSpPr>
        <xdr:cNvPr id="3283" name="CaixaDeTexto 3282">
          <a:extLst>
            <a:ext uri="{FF2B5EF4-FFF2-40B4-BE49-F238E27FC236}">
              <a16:creationId xmlns:a16="http://schemas.microsoft.com/office/drawing/2014/main" id="{B7AFF9C6-1730-4600-A3C9-7F8F88E48FDD}"/>
            </a:ext>
          </a:extLst>
        </xdr:cNvPr>
        <xdr:cNvSpPr txBox="1"/>
      </xdr:nvSpPr>
      <xdr:spPr>
        <a:xfrm>
          <a:off x="16078552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48</xdr:col>
      <xdr:colOff>141944</xdr:colOff>
      <xdr:row>68</xdr:row>
      <xdr:rowOff>0</xdr:rowOff>
    </xdr:from>
    <xdr:ext cx="184731" cy="280205"/>
    <xdr:sp macro="" textlink="">
      <xdr:nvSpPr>
        <xdr:cNvPr id="3286" name="CaixaDeTexto 3285">
          <a:extLst>
            <a:ext uri="{FF2B5EF4-FFF2-40B4-BE49-F238E27FC236}">
              <a16:creationId xmlns:a16="http://schemas.microsoft.com/office/drawing/2014/main" id="{8DB15C79-3765-4DC5-AED9-F897E5F03414}"/>
            </a:ext>
          </a:extLst>
        </xdr:cNvPr>
        <xdr:cNvSpPr txBox="1"/>
      </xdr:nvSpPr>
      <xdr:spPr>
        <a:xfrm>
          <a:off x="13916025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52</xdr:col>
      <xdr:colOff>141944</xdr:colOff>
      <xdr:row>68</xdr:row>
      <xdr:rowOff>0</xdr:rowOff>
    </xdr:from>
    <xdr:ext cx="184731" cy="280205"/>
    <xdr:sp macro="" textlink="">
      <xdr:nvSpPr>
        <xdr:cNvPr id="3287" name="CaixaDeTexto 3286">
          <a:extLst>
            <a:ext uri="{FF2B5EF4-FFF2-40B4-BE49-F238E27FC236}">
              <a16:creationId xmlns:a16="http://schemas.microsoft.com/office/drawing/2014/main" id="{010B8790-674D-44C5-8164-73C766EE10F4}"/>
            </a:ext>
          </a:extLst>
        </xdr:cNvPr>
        <xdr:cNvSpPr txBox="1"/>
      </xdr:nvSpPr>
      <xdr:spPr>
        <a:xfrm>
          <a:off x="13916025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294986</xdr:colOff>
      <xdr:row>68</xdr:row>
      <xdr:rowOff>0</xdr:rowOff>
    </xdr:from>
    <xdr:ext cx="184731" cy="280205"/>
    <xdr:sp macro="" textlink="">
      <xdr:nvSpPr>
        <xdr:cNvPr id="3289" name="CaixaDeTexto 3288">
          <a:extLst>
            <a:ext uri="{FF2B5EF4-FFF2-40B4-BE49-F238E27FC236}">
              <a16:creationId xmlns:a16="http://schemas.microsoft.com/office/drawing/2014/main" id="{EAAB4C99-AC41-4BA7-84FB-6D6A33580C06}"/>
            </a:ext>
          </a:extLst>
        </xdr:cNvPr>
        <xdr:cNvSpPr txBox="1"/>
      </xdr:nvSpPr>
      <xdr:spPr>
        <a:xfrm>
          <a:off x="16096961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78</xdr:col>
      <xdr:colOff>130899</xdr:colOff>
      <xdr:row>68</xdr:row>
      <xdr:rowOff>0</xdr:rowOff>
    </xdr:from>
    <xdr:ext cx="184731" cy="280205"/>
    <xdr:sp macro="" textlink="">
      <xdr:nvSpPr>
        <xdr:cNvPr id="3291" name="CaixaDeTexto 3290">
          <a:extLst>
            <a:ext uri="{FF2B5EF4-FFF2-40B4-BE49-F238E27FC236}">
              <a16:creationId xmlns:a16="http://schemas.microsoft.com/office/drawing/2014/main" id="{6DEC11FC-6106-4A97-9287-3820CF4C43AE}"/>
            </a:ext>
          </a:extLst>
        </xdr:cNvPr>
        <xdr:cNvSpPr txBox="1"/>
      </xdr:nvSpPr>
      <xdr:spPr>
        <a:xfrm>
          <a:off x="14989899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82</xdr:col>
      <xdr:colOff>276577</xdr:colOff>
      <xdr:row>68</xdr:row>
      <xdr:rowOff>0</xdr:rowOff>
    </xdr:from>
    <xdr:ext cx="184731" cy="280205"/>
    <xdr:sp macro="" textlink="">
      <xdr:nvSpPr>
        <xdr:cNvPr id="3295" name="CaixaDeTexto 3294">
          <a:extLst>
            <a:ext uri="{FF2B5EF4-FFF2-40B4-BE49-F238E27FC236}">
              <a16:creationId xmlns:a16="http://schemas.microsoft.com/office/drawing/2014/main" id="{D66417C9-5BF4-4041-A645-40090BB335BE}"/>
            </a:ext>
          </a:extLst>
        </xdr:cNvPr>
        <xdr:cNvSpPr txBox="1"/>
      </xdr:nvSpPr>
      <xdr:spPr>
        <a:xfrm>
          <a:off x="16078552" y="2629852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3</xdr:col>
      <xdr:colOff>196211</xdr:colOff>
      <xdr:row>72</xdr:row>
      <xdr:rowOff>159000</xdr:rowOff>
    </xdr:from>
    <xdr:to>
      <xdr:col>3</xdr:col>
      <xdr:colOff>522116</xdr:colOff>
      <xdr:row>74</xdr:row>
      <xdr:rowOff>6157</xdr:rowOff>
    </xdr:to>
    <xdr:sp macro="" textlink="">
      <xdr:nvSpPr>
        <xdr:cNvPr id="3296" name="Elipse 3295">
          <a:extLst>
            <a:ext uri="{FF2B5EF4-FFF2-40B4-BE49-F238E27FC236}">
              <a16:creationId xmlns:a16="http://schemas.microsoft.com/office/drawing/2014/main" id="{EDC05851-28BC-4F6F-88B2-687FEA4E962F}"/>
            </a:ext>
          </a:extLst>
        </xdr:cNvPr>
        <xdr:cNvSpPr/>
      </xdr:nvSpPr>
      <xdr:spPr>
        <a:xfrm>
          <a:off x="5444486" y="27371925"/>
          <a:ext cx="325905" cy="304357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</xdr:colOff>
      <xdr:row>69</xdr:row>
      <xdr:rowOff>47625</xdr:rowOff>
    </xdr:from>
    <xdr:to>
      <xdr:col>108</xdr:col>
      <xdr:colOff>152400</xdr:colOff>
      <xdr:row>70</xdr:row>
      <xdr:rowOff>65042</xdr:rowOff>
    </xdr:to>
    <xdr:sp macro="" textlink="">
      <xdr:nvSpPr>
        <xdr:cNvPr id="3297" name="Retângulo 4169">
          <a:extLst>
            <a:ext uri="{FF2B5EF4-FFF2-40B4-BE49-F238E27FC236}">
              <a16:creationId xmlns:a16="http://schemas.microsoft.com/office/drawing/2014/main" id="{1B7D3327-DEB1-432C-8A5B-A0440F30E20E}"/>
            </a:ext>
          </a:extLst>
        </xdr:cNvPr>
        <xdr:cNvSpPr/>
      </xdr:nvSpPr>
      <xdr:spPr>
        <a:xfrm>
          <a:off x="23355300" y="24060150"/>
          <a:ext cx="771525" cy="24601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User Req</a:t>
          </a:r>
        </a:p>
      </xdr:txBody>
    </xdr:sp>
    <xdr:clientData/>
  </xdr:twoCellAnchor>
  <xdr:twoCellAnchor>
    <xdr:from>
      <xdr:col>119</xdr:col>
      <xdr:colOff>317095</xdr:colOff>
      <xdr:row>69</xdr:row>
      <xdr:rowOff>56050</xdr:rowOff>
    </xdr:from>
    <xdr:to>
      <xdr:col>121</xdr:col>
      <xdr:colOff>283636</xdr:colOff>
      <xdr:row>70</xdr:row>
      <xdr:rowOff>78839</xdr:rowOff>
    </xdr:to>
    <xdr:sp macro="" textlink="">
      <xdr:nvSpPr>
        <xdr:cNvPr id="3299" name="Retângulo 4170">
          <a:extLst>
            <a:ext uri="{FF2B5EF4-FFF2-40B4-BE49-F238E27FC236}">
              <a16:creationId xmlns:a16="http://schemas.microsoft.com/office/drawing/2014/main" id="{B14FE654-9FAE-48FB-A72F-B9A3FE81F348}"/>
            </a:ext>
          </a:extLst>
        </xdr:cNvPr>
        <xdr:cNvSpPr/>
      </xdr:nvSpPr>
      <xdr:spPr>
        <a:xfrm>
          <a:off x="28520060" y="24027674"/>
          <a:ext cx="612000" cy="25587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ETL Development</a:t>
          </a:r>
        </a:p>
      </xdr:txBody>
    </xdr:sp>
    <xdr:clientData/>
  </xdr:twoCellAnchor>
  <xdr:twoCellAnchor>
    <xdr:from>
      <xdr:col>121</xdr:col>
      <xdr:colOff>314883</xdr:colOff>
      <xdr:row>69</xdr:row>
      <xdr:rowOff>55657</xdr:rowOff>
    </xdr:from>
    <xdr:to>
      <xdr:col>123</xdr:col>
      <xdr:colOff>25583</xdr:colOff>
      <xdr:row>70</xdr:row>
      <xdr:rowOff>79424</xdr:rowOff>
    </xdr:to>
    <xdr:sp macro="" textlink="">
      <xdr:nvSpPr>
        <xdr:cNvPr id="3301" name="Retângulo 4171">
          <a:extLst>
            <a:ext uri="{FF2B5EF4-FFF2-40B4-BE49-F238E27FC236}">
              <a16:creationId xmlns:a16="http://schemas.microsoft.com/office/drawing/2014/main" id="{69F53E3E-5001-451B-901B-B0E65A8AC271}"/>
            </a:ext>
          </a:extLst>
        </xdr:cNvPr>
        <xdr:cNvSpPr/>
      </xdr:nvSpPr>
      <xdr:spPr>
        <a:xfrm>
          <a:off x="29606526" y="21845228"/>
          <a:ext cx="363843" cy="25055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7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Tests</a:t>
          </a:r>
        </a:p>
      </xdr:txBody>
    </xdr:sp>
    <xdr:clientData/>
  </xdr:twoCellAnchor>
  <xdr:twoCellAnchor>
    <xdr:from>
      <xdr:col>123</xdr:col>
      <xdr:colOff>63975</xdr:colOff>
      <xdr:row>69</xdr:row>
      <xdr:rowOff>55657</xdr:rowOff>
    </xdr:from>
    <xdr:to>
      <xdr:col>129</xdr:col>
      <xdr:colOff>18143</xdr:colOff>
      <xdr:row>70</xdr:row>
      <xdr:rowOff>99786</xdr:rowOff>
    </xdr:to>
    <xdr:sp macro="" textlink="">
      <xdr:nvSpPr>
        <xdr:cNvPr id="3302" name="Retângulo 4172">
          <a:extLst>
            <a:ext uri="{FF2B5EF4-FFF2-40B4-BE49-F238E27FC236}">
              <a16:creationId xmlns:a16="http://schemas.microsoft.com/office/drawing/2014/main" id="{3F35593C-CCD3-428D-B1A3-EF4A58B9EDB2}"/>
            </a:ext>
          </a:extLst>
        </xdr:cNvPr>
        <xdr:cNvSpPr/>
      </xdr:nvSpPr>
      <xdr:spPr>
        <a:xfrm>
          <a:off x="30008761" y="21845228"/>
          <a:ext cx="1913596" cy="27091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129</xdr:col>
      <xdr:colOff>118532</xdr:colOff>
      <xdr:row>68</xdr:row>
      <xdr:rowOff>143498</xdr:rowOff>
    </xdr:from>
    <xdr:to>
      <xdr:col>129</xdr:col>
      <xdr:colOff>309391</xdr:colOff>
      <xdr:row>69</xdr:row>
      <xdr:rowOff>84667</xdr:rowOff>
    </xdr:to>
    <xdr:sp macro="" textlink="">
      <xdr:nvSpPr>
        <xdr:cNvPr id="3303" name="Estrela: 5 Pontas 3302">
          <a:extLst>
            <a:ext uri="{FF2B5EF4-FFF2-40B4-BE49-F238E27FC236}">
              <a16:creationId xmlns:a16="http://schemas.microsoft.com/office/drawing/2014/main" id="{08265A10-F367-4BC7-AB47-80B1E286D00E}"/>
            </a:ext>
          </a:extLst>
        </xdr:cNvPr>
        <xdr:cNvSpPr/>
      </xdr:nvSpPr>
      <xdr:spPr>
        <a:xfrm>
          <a:off x="32207199" y="21843565"/>
          <a:ext cx="190859" cy="169769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129</xdr:col>
      <xdr:colOff>101600</xdr:colOff>
      <xdr:row>69</xdr:row>
      <xdr:rowOff>102246</xdr:rowOff>
    </xdr:from>
    <xdr:ext cx="1527664" cy="270287"/>
    <xdr:sp macro="" textlink="">
      <xdr:nvSpPr>
        <xdr:cNvPr id="3304" name="CaixaDeTexto 3094">
          <a:extLst>
            <a:ext uri="{FF2B5EF4-FFF2-40B4-BE49-F238E27FC236}">
              <a16:creationId xmlns:a16="http://schemas.microsoft.com/office/drawing/2014/main" id="{02AC69C0-6EBF-45A8-8209-A50F3433864E}"/>
            </a:ext>
          </a:extLst>
        </xdr:cNvPr>
        <xdr:cNvSpPr txBox="1"/>
      </xdr:nvSpPr>
      <xdr:spPr>
        <a:xfrm>
          <a:off x="32190267" y="22030913"/>
          <a:ext cx="1527664" cy="270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l"/>
          <a:r>
            <a:rPr lang="pt-B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Go-Live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108</xdr:col>
      <xdr:colOff>285750</xdr:colOff>
      <xdr:row>73</xdr:row>
      <xdr:rowOff>161925</xdr:rowOff>
    </xdr:from>
    <xdr:to>
      <xdr:col>110</xdr:col>
      <xdr:colOff>19050</xdr:colOff>
      <xdr:row>75</xdr:row>
      <xdr:rowOff>161925</xdr:rowOff>
    </xdr:to>
    <xdr:sp macro="" textlink="">
      <xdr:nvSpPr>
        <xdr:cNvPr id="3308" name="Retângulo 4169">
          <a:extLst>
            <a:ext uri="{FF2B5EF4-FFF2-40B4-BE49-F238E27FC236}">
              <a16:creationId xmlns:a16="http://schemas.microsoft.com/office/drawing/2014/main" id="{FD6DE8F5-0532-47FA-A8B8-FBBF91F6B128}"/>
            </a:ext>
          </a:extLst>
        </xdr:cNvPr>
        <xdr:cNvSpPr/>
      </xdr:nvSpPr>
      <xdr:spPr>
        <a:xfrm>
          <a:off x="24260175" y="25088850"/>
          <a:ext cx="361950" cy="457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User Req</a:t>
          </a:r>
        </a:p>
      </xdr:txBody>
    </xdr:sp>
    <xdr:clientData/>
  </xdr:twoCellAnchor>
  <xdr:oneCellAnchor>
    <xdr:from>
      <xdr:col>104</xdr:col>
      <xdr:colOff>277762</xdr:colOff>
      <xdr:row>69</xdr:row>
      <xdr:rowOff>49392</xdr:rowOff>
    </xdr:from>
    <xdr:ext cx="252000" cy="202741"/>
    <xdr:sp macro="" textlink="">
      <xdr:nvSpPr>
        <xdr:cNvPr id="3310" name="CaixaDeTexto 3094">
          <a:extLst>
            <a:ext uri="{FF2B5EF4-FFF2-40B4-BE49-F238E27FC236}">
              <a16:creationId xmlns:a16="http://schemas.microsoft.com/office/drawing/2014/main" id="{F00D1C85-C6EB-4D85-8FCB-E03AFAC652C4}"/>
            </a:ext>
          </a:extLst>
        </xdr:cNvPr>
        <xdr:cNvSpPr txBox="1"/>
      </xdr:nvSpPr>
      <xdr:spPr>
        <a:xfrm>
          <a:off x="22994887" y="26576517"/>
          <a:ext cx="252000" cy="202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l"/>
          <a:r>
            <a:rPr lang="pt-B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NPS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106</xdr:col>
      <xdr:colOff>238125</xdr:colOff>
      <xdr:row>73</xdr:row>
      <xdr:rowOff>173217</xdr:rowOff>
    </xdr:from>
    <xdr:ext cx="605962" cy="226833"/>
    <xdr:sp macro="" textlink="">
      <xdr:nvSpPr>
        <xdr:cNvPr id="3311" name="CaixaDeTexto 3094">
          <a:extLst>
            <a:ext uri="{FF2B5EF4-FFF2-40B4-BE49-F238E27FC236}">
              <a16:creationId xmlns:a16="http://schemas.microsoft.com/office/drawing/2014/main" id="{287D29C0-2B1C-4907-A2D8-A20C2BA3010D}"/>
            </a:ext>
          </a:extLst>
        </xdr:cNvPr>
        <xdr:cNvSpPr txBox="1"/>
      </xdr:nvSpPr>
      <xdr:spPr>
        <a:xfrm>
          <a:off x="23583900" y="27614742"/>
          <a:ext cx="605962" cy="2268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l"/>
          <a:r>
            <a:rPr lang="pt-B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Warranty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121</xdr:col>
      <xdr:colOff>120396</xdr:colOff>
      <xdr:row>73</xdr:row>
      <xdr:rowOff>164000</xdr:rowOff>
    </xdr:from>
    <xdr:to>
      <xdr:col>123</xdr:col>
      <xdr:colOff>185058</xdr:colOff>
      <xdr:row>75</xdr:row>
      <xdr:rowOff>76200</xdr:rowOff>
    </xdr:to>
    <xdr:sp macro="" textlink="">
      <xdr:nvSpPr>
        <xdr:cNvPr id="3313" name="Retângulo 4170">
          <a:extLst>
            <a:ext uri="{FF2B5EF4-FFF2-40B4-BE49-F238E27FC236}">
              <a16:creationId xmlns:a16="http://schemas.microsoft.com/office/drawing/2014/main" id="{D451E9A3-C9E7-4B3E-826D-B0FC0B708722}"/>
            </a:ext>
          </a:extLst>
        </xdr:cNvPr>
        <xdr:cNvSpPr/>
      </xdr:nvSpPr>
      <xdr:spPr>
        <a:xfrm>
          <a:off x="28640967" y="23002229"/>
          <a:ext cx="696034" cy="369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ETL Development</a:t>
          </a:r>
        </a:p>
      </xdr:txBody>
    </xdr:sp>
    <xdr:clientData/>
  </xdr:twoCellAnchor>
  <xdr:twoCellAnchor>
    <xdr:from>
      <xdr:col>110</xdr:col>
      <xdr:colOff>177882</xdr:colOff>
      <xdr:row>69</xdr:row>
      <xdr:rowOff>47996</xdr:rowOff>
    </xdr:from>
    <xdr:to>
      <xdr:col>119</xdr:col>
      <xdr:colOff>302560</xdr:colOff>
      <xdr:row>70</xdr:row>
      <xdr:rowOff>70408</xdr:rowOff>
    </xdr:to>
    <xdr:sp macro="" textlink="">
      <xdr:nvSpPr>
        <xdr:cNvPr id="3323" name="Retângulo 3322">
          <a:extLst>
            <a:ext uri="{FF2B5EF4-FFF2-40B4-BE49-F238E27FC236}">
              <a16:creationId xmlns:a16="http://schemas.microsoft.com/office/drawing/2014/main" id="{06E53D08-5600-634F-2E7B-AB9872EBADEF}"/>
            </a:ext>
          </a:extLst>
        </xdr:cNvPr>
        <xdr:cNvSpPr/>
      </xdr:nvSpPr>
      <xdr:spPr>
        <a:xfrm>
          <a:off x="25805735" y="23669996"/>
          <a:ext cx="3049413" cy="24653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On-hold</a:t>
          </a:r>
        </a:p>
      </xdr:txBody>
    </xdr:sp>
    <xdr:clientData/>
  </xdr:twoCellAnchor>
  <xdr:twoCellAnchor>
    <xdr:from>
      <xdr:col>108</xdr:col>
      <xdr:colOff>150649</xdr:colOff>
      <xdr:row>69</xdr:row>
      <xdr:rowOff>48019</xdr:rowOff>
    </xdr:from>
    <xdr:to>
      <xdr:col>109</xdr:col>
      <xdr:colOff>171450</xdr:colOff>
      <xdr:row>70</xdr:row>
      <xdr:rowOff>142875</xdr:rowOff>
    </xdr:to>
    <xdr:sp macro="" textlink="">
      <xdr:nvSpPr>
        <xdr:cNvPr id="3324" name="Retângulo 4170">
          <a:extLst>
            <a:ext uri="{FF2B5EF4-FFF2-40B4-BE49-F238E27FC236}">
              <a16:creationId xmlns:a16="http://schemas.microsoft.com/office/drawing/2014/main" id="{B4032B8B-84E8-039D-49E8-E9781566D3CB}"/>
            </a:ext>
          </a:extLst>
        </xdr:cNvPr>
        <xdr:cNvSpPr/>
      </xdr:nvSpPr>
      <xdr:spPr>
        <a:xfrm>
          <a:off x="24125074" y="24060544"/>
          <a:ext cx="335126" cy="32345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ETL Dev</a:t>
          </a:r>
        </a:p>
      </xdr:txBody>
    </xdr:sp>
    <xdr:clientData/>
  </xdr:twoCellAnchor>
  <xdr:twoCellAnchor>
    <xdr:from>
      <xdr:col>111</xdr:col>
      <xdr:colOff>15954</xdr:colOff>
      <xdr:row>73</xdr:row>
      <xdr:rowOff>164860</xdr:rowOff>
    </xdr:from>
    <xdr:to>
      <xdr:col>119</xdr:col>
      <xdr:colOff>307754</xdr:colOff>
      <xdr:row>74</xdr:row>
      <xdr:rowOff>184149</xdr:rowOff>
    </xdr:to>
    <xdr:sp macro="" textlink="">
      <xdr:nvSpPr>
        <xdr:cNvPr id="3327" name="Retângulo 3326">
          <a:extLst>
            <a:ext uri="{FF2B5EF4-FFF2-40B4-BE49-F238E27FC236}">
              <a16:creationId xmlns:a16="http://schemas.microsoft.com/office/drawing/2014/main" id="{B803B094-9E28-E63A-9C2F-E0BBEEC9F042}"/>
            </a:ext>
          </a:extLst>
        </xdr:cNvPr>
        <xdr:cNvSpPr/>
      </xdr:nvSpPr>
      <xdr:spPr>
        <a:xfrm>
          <a:off x="25968778" y="24683331"/>
          <a:ext cx="2891564" cy="243406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On-hold</a:t>
          </a:r>
        </a:p>
      </xdr:txBody>
    </xdr:sp>
    <xdr:clientData/>
  </xdr:twoCellAnchor>
  <xdr:twoCellAnchor>
    <xdr:from>
      <xdr:col>120</xdr:col>
      <xdr:colOff>7845</xdr:colOff>
      <xdr:row>73</xdr:row>
      <xdr:rowOff>169956</xdr:rowOff>
    </xdr:from>
    <xdr:to>
      <xdr:col>121</xdr:col>
      <xdr:colOff>109446</xdr:colOff>
      <xdr:row>75</xdr:row>
      <xdr:rowOff>55656</xdr:rowOff>
    </xdr:to>
    <xdr:sp macro="" textlink="">
      <xdr:nvSpPr>
        <xdr:cNvPr id="3335" name="Retângulo 4169">
          <a:extLst>
            <a:ext uri="{FF2B5EF4-FFF2-40B4-BE49-F238E27FC236}">
              <a16:creationId xmlns:a16="http://schemas.microsoft.com/office/drawing/2014/main" id="{CFAA2112-2D95-7C8F-4C74-CE89CB5F3A04}"/>
            </a:ext>
          </a:extLst>
        </xdr:cNvPr>
        <xdr:cNvSpPr/>
      </xdr:nvSpPr>
      <xdr:spPr>
        <a:xfrm>
          <a:off x="28885404" y="24688427"/>
          <a:ext cx="426571" cy="3339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User Req</a:t>
          </a:r>
        </a:p>
      </xdr:txBody>
    </xdr:sp>
    <xdr:clientData/>
  </xdr:twoCellAnchor>
  <xdr:twoCellAnchor>
    <xdr:from>
      <xdr:col>109</xdr:col>
      <xdr:colOff>41144</xdr:colOff>
      <xdr:row>42</xdr:row>
      <xdr:rowOff>27900</xdr:rowOff>
    </xdr:from>
    <xdr:to>
      <xdr:col>110</xdr:col>
      <xdr:colOff>230819</xdr:colOff>
      <xdr:row>42</xdr:row>
      <xdr:rowOff>243900</xdr:rowOff>
    </xdr:to>
    <xdr:sp macro="" textlink="">
      <xdr:nvSpPr>
        <xdr:cNvPr id="3337" name="Retângulo 3336">
          <a:extLst>
            <a:ext uri="{FF2B5EF4-FFF2-40B4-BE49-F238E27FC236}">
              <a16:creationId xmlns:a16="http://schemas.microsoft.com/office/drawing/2014/main" id="{C9EEA20A-4D89-1A0F-4802-2DE8A0D1432D}"/>
            </a:ext>
          </a:extLst>
        </xdr:cNvPr>
        <xdr:cNvSpPr/>
      </xdr:nvSpPr>
      <xdr:spPr>
        <a:xfrm>
          <a:off x="24329894" y="16953825"/>
          <a:ext cx="504000" cy="21600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SAP outage</a:t>
          </a:r>
        </a:p>
      </xdr:txBody>
    </xdr:sp>
    <xdr:clientData/>
  </xdr:twoCellAnchor>
  <xdr:twoCellAnchor>
    <xdr:from>
      <xdr:col>116</xdr:col>
      <xdr:colOff>10246</xdr:colOff>
      <xdr:row>42</xdr:row>
      <xdr:rowOff>26586</xdr:rowOff>
    </xdr:from>
    <xdr:to>
      <xdr:col>118</xdr:col>
      <xdr:colOff>293687</xdr:colOff>
      <xdr:row>42</xdr:row>
      <xdr:rowOff>246061</xdr:rowOff>
    </xdr:to>
    <xdr:sp macro="" textlink="">
      <xdr:nvSpPr>
        <xdr:cNvPr id="3338" name="Retângulo 3337">
          <a:extLst>
            <a:ext uri="{FF2B5EF4-FFF2-40B4-BE49-F238E27FC236}">
              <a16:creationId xmlns:a16="http://schemas.microsoft.com/office/drawing/2014/main" id="{56C24058-EF53-6CE9-6207-88D46F991F39}"/>
            </a:ext>
          </a:extLst>
        </xdr:cNvPr>
        <xdr:cNvSpPr/>
      </xdr:nvSpPr>
      <xdr:spPr>
        <a:xfrm>
          <a:off x="27608934" y="17084274"/>
          <a:ext cx="934316" cy="2194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110</xdr:col>
      <xdr:colOff>250693</xdr:colOff>
      <xdr:row>42</xdr:row>
      <xdr:rowOff>27899</xdr:rowOff>
    </xdr:from>
    <xdr:to>
      <xdr:col>115</xdr:col>
      <xdr:colOff>299068</xdr:colOff>
      <xdr:row>42</xdr:row>
      <xdr:rowOff>243899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B643EAB7-1D95-971F-2720-6D3B96B25B47}"/>
            </a:ext>
          </a:extLst>
        </xdr:cNvPr>
        <xdr:cNvSpPr/>
      </xdr:nvSpPr>
      <xdr:spPr>
        <a:xfrm>
          <a:off x="24853768" y="13962974"/>
          <a:ext cx="1620000" cy="21600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Replanning</a:t>
          </a:r>
        </a:p>
      </xdr:txBody>
    </xdr:sp>
    <xdr:clientData/>
  </xdr:twoCellAnchor>
  <xdr:twoCellAnchor>
    <xdr:from>
      <xdr:col>111</xdr:col>
      <xdr:colOff>45945</xdr:colOff>
      <xdr:row>32</xdr:row>
      <xdr:rowOff>562535</xdr:rowOff>
    </xdr:from>
    <xdr:to>
      <xdr:col>121</xdr:col>
      <xdr:colOff>166650</xdr:colOff>
      <xdr:row>32</xdr:row>
      <xdr:rowOff>800660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67612482-7A63-2836-34FF-C4D80F87326D}"/>
            </a:ext>
          </a:extLst>
        </xdr:cNvPr>
        <xdr:cNvSpPr/>
      </xdr:nvSpPr>
      <xdr:spPr>
        <a:xfrm>
          <a:off x="25667074" y="10405782"/>
          <a:ext cx="3348000" cy="238125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Wrokload- Project schedule conflict </a:t>
          </a:r>
        </a:p>
      </xdr:txBody>
    </xdr:sp>
    <xdr:clientData/>
  </xdr:twoCellAnchor>
  <xdr:twoCellAnchor>
    <xdr:from>
      <xdr:col>114</xdr:col>
      <xdr:colOff>68354</xdr:colOff>
      <xdr:row>17</xdr:row>
      <xdr:rowOff>106159</xdr:rowOff>
    </xdr:from>
    <xdr:to>
      <xdr:col>117</xdr:col>
      <xdr:colOff>310487</xdr:colOff>
      <xdr:row>18</xdr:row>
      <xdr:rowOff>124942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0DADC9-E159-42E0-9F7A-460C344F9FF7}"/>
            </a:ext>
          </a:extLst>
        </xdr:cNvPr>
        <xdr:cNvSpPr/>
      </xdr:nvSpPr>
      <xdr:spPr>
        <a:xfrm>
          <a:off x="26657672" y="4884347"/>
          <a:ext cx="1210321" cy="2518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oneCellAnchor>
    <xdr:from>
      <xdr:col>125</xdr:col>
      <xdr:colOff>184120</xdr:colOff>
      <xdr:row>17</xdr:row>
      <xdr:rowOff>116963</xdr:rowOff>
    </xdr:from>
    <xdr:ext cx="612000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600F961-AD9D-4BE7-8B1B-9339BAE0BA85}"/>
            </a:ext>
          </a:extLst>
        </xdr:cNvPr>
        <xdr:cNvSpPr txBox="1"/>
      </xdr:nvSpPr>
      <xdr:spPr>
        <a:xfrm>
          <a:off x="30323461" y="4895151"/>
          <a:ext cx="612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pt-BR" sz="1100"/>
            <a:t>Go-Live</a:t>
          </a:r>
        </a:p>
      </xdr:txBody>
    </xdr:sp>
    <xdr:clientData/>
  </xdr:oneCellAnchor>
  <xdr:twoCellAnchor>
    <xdr:from>
      <xdr:col>116</xdr:col>
      <xdr:colOff>303538</xdr:colOff>
      <xdr:row>18</xdr:row>
      <xdr:rowOff>133738</xdr:rowOff>
    </xdr:from>
    <xdr:to>
      <xdr:col>119</xdr:col>
      <xdr:colOff>295834</xdr:colOff>
      <xdr:row>18</xdr:row>
      <xdr:rowOff>381388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22141FEB-EF58-4E2C-8CA9-788AC92A6859}"/>
            </a:ext>
          </a:extLst>
        </xdr:cNvPr>
        <xdr:cNvSpPr/>
      </xdr:nvSpPr>
      <xdr:spPr>
        <a:xfrm>
          <a:off x="27538314" y="5145009"/>
          <a:ext cx="960485" cy="247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119</xdr:col>
      <xdr:colOff>295911</xdr:colOff>
      <xdr:row>18</xdr:row>
      <xdr:rowOff>130101</xdr:rowOff>
    </xdr:from>
    <xdr:to>
      <xdr:col>125</xdr:col>
      <xdr:colOff>303535</xdr:colOff>
      <xdr:row>18</xdr:row>
      <xdr:rowOff>381388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932C117E-F65A-4379-B568-1EB54788B6E0}"/>
            </a:ext>
          </a:extLst>
        </xdr:cNvPr>
        <xdr:cNvSpPr/>
      </xdr:nvSpPr>
      <xdr:spPr>
        <a:xfrm>
          <a:off x="28498876" y="5141372"/>
          <a:ext cx="1944000" cy="25128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3</xdr:col>
      <xdr:colOff>209550</xdr:colOff>
      <xdr:row>18</xdr:row>
      <xdr:rowOff>390525</xdr:rowOff>
    </xdr:from>
    <xdr:to>
      <xdr:col>3</xdr:col>
      <xdr:colOff>533550</xdr:colOff>
      <xdr:row>18</xdr:row>
      <xdr:rowOff>713355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46BFC665-410B-445A-A820-9CBCAFD56C03}"/>
            </a:ext>
          </a:extLst>
        </xdr:cNvPr>
        <xdr:cNvSpPr/>
      </xdr:nvSpPr>
      <xdr:spPr>
        <a:xfrm>
          <a:off x="5457825" y="8715375"/>
          <a:ext cx="324000" cy="32283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126</xdr:col>
      <xdr:colOff>134616</xdr:colOff>
      <xdr:row>18</xdr:row>
      <xdr:rowOff>161759</xdr:rowOff>
    </xdr:from>
    <xdr:to>
      <xdr:col>126</xdr:col>
      <xdr:colOff>275869</xdr:colOff>
      <xdr:row>18</xdr:row>
      <xdr:rowOff>308435</xdr:rowOff>
    </xdr:to>
    <xdr:sp macro="" textlink="">
      <xdr:nvSpPr>
        <xdr:cNvPr id="38" name="Estrela: 5 Pontas 37">
          <a:extLst>
            <a:ext uri="{FF2B5EF4-FFF2-40B4-BE49-F238E27FC236}">
              <a16:creationId xmlns:a16="http://schemas.microsoft.com/office/drawing/2014/main" id="{A20CC129-2465-4421-A3DA-352C477F08F2}"/>
            </a:ext>
          </a:extLst>
        </xdr:cNvPr>
        <xdr:cNvSpPr/>
      </xdr:nvSpPr>
      <xdr:spPr>
        <a:xfrm>
          <a:off x="30596687" y="5173030"/>
          <a:ext cx="141253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126</xdr:col>
      <xdr:colOff>277904</xdr:colOff>
      <xdr:row>18</xdr:row>
      <xdr:rowOff>139952</xdr:rowOff>
    </xdr:from>
    <xdr:ext cx="1387896" cy="405367"/>
    <xdr:sp macro="" textlink="">
      <xdr:nvSpPr>
        <xdr:cNvPr id="3149" name="CaixaDeTexto 3148">
          <a:extLst>
            <a:ext uri="{FF2B5EF4-FFF2-40B4-BE49-F238E27FC236}">
              <a16:creationId xmlns:a16="http://schemas.microsoft.com/office/drawing/2014/main" id="{CC6D4C32-C069-402C-8171-03516062957D}"/>
            </a:ext>
          </a:extLst>
        </xdr:cNvPr>
        <xdr:cNvSpPr txBox="1"/>
      </xdr:nvSpPr>
      <xdr:spPr>
        <a:xfrm>
          <a:off x="30739975" y="5151223"/>
          <a:ext cx="1387896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pt-BR" sz="1000"/>
            <a:t>(First week to avoid sales</a:t>
          </a:r>
          <a:r>
            <a:rPr lang="pt-BR" sz="1000" baseline="0"/>
            <a:t> closing period)</a:t>
          </a:r>
          <a:r>
            <a:rPr lang="pt-BR" sz="1000"/>
            <a:t> </a:t>
          </a:r>
        </a:p>
      </xdr:txBody>
    </xdr:sp>
    <xdr:clientData/>
  </xdr:oneCellAnchor>
  <xdr:twoCellAnchor>
    <xdr:from>
      <xdr:col>123</xdr:col>
      <xdr:colOff>199364</xdr:colOff>
      <xdr:row>22</xdr:row>
      <xdr:rowOff>0</xdr:rowOff>
    </xdr:from>
    <xdr:to>
      <xdr:col>123</xdr:col>
      <xdr:colOff>199364</xdr:colOff>
      <xdr:row>33</xdr:row>
      <xdr:rowOff>0</xdr:rowOff>
    </xdr:to>
    <xdr:cxnSp macro="">
      <xdr:nvCxnSpPr>
        <xdr:cNvPr id="3381" name="Conector reto 3380">
          <a:extLst>
            <a:ext uri="{FF2B5EF4-FFF2-40B4-BE49-F238E27FC236}">
              <a16:creationId xmlns:a16="http://schemas.microsoft.com/office/drawing/2014/main" id="{3EDC390F-DC22-74F5-D517-DD43057AFFE8}"/>
            </a:ext>
          </a:extLst>
        </xdr:cNvPr>
        <xdr:cNvCxnSpPr/>
      </xdr:nvCxnSpPr>
      <xdr:spPr>
        <a:xfrm>
          <a:off x="29693246" y="9824661"/>
          <a:ext cx="0" cy="4983645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293644</xdr:colOff>
      <xdr:row>52</xdr:row>
      <xdr:rowOff>63314</xdr:rowOff>
    </xdr:from>
    <xdr:to>
      <xdr:col>129</xdr:col>
      <xdr:colOff>0</xdr:colOff>
      <xdr:row>53</xdr:row>
      <xdr:rowOff>192768</xdr:rowOff>
    </xdr:to>
    <xdr:sp macro="" textlink="">
      <xdr:nvSpPr>
        <xdr:cNvPr id="3150" name="Retângulo 3149">
          <a:extLst>
            <a:ext uri="{FF2B5EF4-FFF2-40B4-BE49-F238E27FC236}">
              <a16:creationId xmlns:a16="http://schemas.microsoft.com/office/drawing/2014/main" id="{FE2A3C85-950D-77DF-E9FB-4736A36183D7}"/>
            </a:ext>
          </a:extLst>
        </xdr:cNvPr>
        <xdr:cNvSpPr/>
      </xdr:nvSpPr>
      <xdr:spPr>
        <a:xfrm>
          <a:off x="30320073" y="17979385"/>
          <a:ext cx="1679391" cy="3562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User Test</a:t>
          </a:r>
        </a:p>
      </xdr:txBody>
    </xdr:sp>
    <xdr:clientData/>
  </xdr:twoCellAnchor>
  <xdr:twoCellAnchor>
    <xdr:from>
      <xdr:col>114</xdr:col>
      <xdr:colOff>14003</xdr:colOff>
      <xdr:row>63</xdr:row>
      <xdr:rowOff>0</xdr:rowOff>
    </xdr:from>
    <xdr:to>
      <xdr:col>118</xdr:col>
      <xdr:colOff>295274</xdr:colOff>
      <xdr:row>64</xdr:row>
      <xdr:rowOff>11204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CD933CB6-8E1A-E3A8-B2CE-B5CA878F6BED}"/>
            </a:ext>
          </a:extLst>
        </xdr:cNvPr>
        <xdr:cNvSpPr/>
      </xdr:nvSpPr>
      <xdr:spPr>
        <a:xfrm>
          <a:off x="25874378" y="22479000"/>
          <a:ext cx="1538571" cy="239804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On-hold - License</a:t>
          </a:r>
        </a:p>
      </xdr:txBody>
    </xdr:sp>
    <xdr:clientData/>
  </xdr:twoCellAnchor>
  <xdr:twoCellAnchor>
    <xdr:from>
      <xdr:col>119</xdr:col>
      <xdr:colOff>10094</xdr:colOff>
      <xdr:row>63</xdr:row>
      <xdr:rowOff>3699</xdr:rowOff>
    </xdr:from>
    <xdr:to>
      <xdr:col>123</xdr:col>
      <xdr:colOff>151351</xdr:colOff>
      <xdr:row>64</xdr:row>
      <xdr:rowOff>13320</xdr:rowOff>
    </xdr:to>
    <xdr:sp macro="" textlink="">
      <xdr:nvSpPr>
        <xdr:cNvPr id="31" name="Retângulo 4172">
          <a:extLst>
            <a:ext uri="{FF2B5EF4-FFF2-40B4-BE49-F238E27FC236}">
              <a16:creationId xmlns:a16="http://schemas.microsoft.com/office/drawing/2014/main" id="{A5CEFEA7-DB92-1E34-8C26-DB448B3741FB}"/>
            </a:ext>
          </a:extLst>
        </xdr:cNvPr>
        <xdr:cNvSpPr/>
      </xdr:nvSpPr>
      <xdr:spPr>
        <a:xfrm>
          <a:off x="27899294" y="20555928"/>
          <a:ext cx="1404000" cy="23822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121</xdr:col>
      <xdr:colOff>216353</xdr:colOff>
      <xdr:row>37</xdr:row>
      <xdr:rowOff>189955</xdr:rowOff>
    </xdr:from>
    <xdr:to>
      <xdr:col>122</xdr:col>
      <xdr:colOff>27580</xdr:colOff>
      <xdr:row>37</xdr:row>
      <xdr:rowOff>352316</xdr:rowOff>
    </xdr:to>
    <xdr:sp macro="" textlink="">
      <xdr:nvSpPr>
        <xdr:cNvPr id="3151" name="Estrela: 5 Pontas 3150">
          <a:extLst>
            <a:ext uri="{FF2B5EF4-FFF2-40B4-BE49-F238E27FC236}">
              <a16:creationId xmlns:a16="http://schemas.microsoft.com/office/drawing/2014/main" id="{4C4E7580-7F43-41D7-8586-A00C9FE2C8B7}"/>
            </a:ext>
          </a:extLst>
        </xdr:cNvPr>
        <xdr:cNvSpPr/>
      </xdr:nvSpPr>
      <xdr:spPr>
        <a:xfrm>
          <a:off x="29064777" y="14972755"/>
          <a:ext cx="133956" cy="162361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120</xdr:col>
      <xdr:colOff>253831</xdr:colOff>
      <xdr:row>36</xdr:row>
      <xdr:rowOff>160423</xdr:rowOff>
    </xdr:from>
    <xdr:ext cx="642459" cy="264560"/>
    <xdr:sp macro="" textlink="">
      <xdr:nvSpPr>
        <xdr:cNvPr id="3154" name="CaixaDeTexto 3153">
          <a:extLst>
            <a:ext uri="{FF2B5EF4-FFF2-40B4-BE49-F238E27FC236}">
              <a16:creationId xmlns:a16="http://schemas.microsoft.com/office/drawing/2014/main" id="{7F33342E-F27D-4FB7-9BD5-DFCD04C0258E}"/>
            </a:ext>
          </a:extLst>
        </xdr:cNvPr>
        <xdr:cNvSpPr txBox="1"/>
      </xdr:nvSpPr>
      <xdr:spPr>
        <a:xfrm>
          <a:off x="28779525" y="14710141"/>
          <a:ext cx="6424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  <xdr:twoCellAnchor>
    <xdr:from>
      <xdr:col>117</xdr:col>
      <xdr:colOff>317767</xdr:colOff>
      <xdr:row>37</xdr:row>
      <xdr:rowOff>166070</xdr:rowOff>
    </xdr:from>
    <xdr:to>
      <xdr:col>118</xdr:col>
      <xdr:colOff>329871</xdr:colOff>
      <xdr:row>37</xdr:row>
      <xdr:rowOff>418070</xdr:rowOff>
    </xdr:to>
    <xdr:sp macro="" textlink="">
      <xdr:nvSpPr>
        <xdr:cNvPr id="3159" name="Retângulo 3158">
          <a:extLst>
            <a:ext uri="{FF2B5EF4-FFF2-40B4-BE49-F238E27FC236}">
              <a16:creationId xmlns:a16="http://schemas.microsoft.com/office/drawing/2014/main" id="{C2DD9924-0279-46AC-AA5D-2116DF8CA45D}"/>
            </a:ext>
          </a:extLst>
        </xdr:cNvPr>
        <xdr:cNvSpPr/>
      </xdr:nvSpPr>
      <xdr:spPr>
        <a:xfrm>
          <a:off x="28638767" y="14955797"/>
          <a:ext cx="346922" cy="2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113</xdr:col>
      <xdr:colOff>319102</xdr:colOff>
      <xdr:row>36</xdr:row>
      <xdr:rowOff>75811</xdr:rowOff>
    </xdr:from>
    <xdr:to>
      <xdr:col>115</xdr:col>
      <xdr:colOff>163286</xdr:colOff>
      <xdr:row>37</xdr:row>
      <xdr:rowOff>101025</xdr:rowOff>
    </xdr:to>
    <xdr:sp macro="" textlink="">
      <xdr:nvSpPr>
        <xdr:cNvPr id="3176" name="Retângulo 3175">
          <a:extLst>
            <a:ext uri="{FF2B5EF4-FFF2-40B4-BE49-F238E27FC236}">
              <a16:creationId xmlns:a16="http://schemas.microsoft.com/office/drawing/2014/main" id="{F989AC3F-90C4-47A3-946C-70C38C0F9186}"/>
            </a:ext>
          </a:extLst>
        </xdr:cNvPr>
        <xdr:cNvSpPr/>
      </xdr:nvSpPr>
      <xdr:spPr>
        <a:xfrm>
          <a:off x="23112427" y="1714111"/>
          <a:ext cx="482359" cy="2538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113</xdr:col>
      <xdr:colOff>312076</xdr:colOff>
      <xdr:row>37</xdr:row>
      <xdr:rowOff>163286</xdr:rowOff>
    </xdr:from>
    <xdr:to>
      <xdr:col>117</xdr:col>
      <xdr:colOff>299357</xdr:colOff>
      <xdr:row>37</xdr:row>
      <xdr:rowOff>415286</xdr:rowOff>
    </xdr:to>
    <xdr:sp macro="" textlink="">
      <xdr:nvSpPr>
        <xdr:cNvPr id="3180" name="Retângulo 3179">
          <a:extLst>
            <a:ext uri="{FF2B5EF4-FFF2-40B4-BE49-F238E27FC236}">
              <a16:creationId xmlns:a16="http://schemas.microsoft.com/office/drawing/2014/main" id="{F5042FA9-A03C-40E2-9DBD-FAA0CA5FB42B}"/>
            </a:ext>
          </a:extLst>
        </xdr:cNvPr>
        <xdr:cNvSpPr/>
      </xdr:nvSpPr>
      <xdr:spPr>
        <a:xfrm>
          <a:off x="23114926" y="2030186"/>
          <a:ext cx="1244581" cy="2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twoCellAnchor>
    <xdr:from>
      <xdr:col>119</xdr:col>
      <xdr:colOff>47618</xdr:colOff>
      <xdr:row>37</xdr:row>
      <xdr:rowOff>166070</xdr:rowOff>
    </xdr:from>
    <xdr:to>
      <xdr:col>121</xdr:col>
      <xdr:colOff>122159</xdr:colOff>
      <xdr:row>37</xdr:row>
      <xdr:rowOff>418070</xdr:rowOff>
    </xdr:to>
    <xdr:sp macro="" textlink="">
      <xdr:nvSpPr>
        <xdr:cNvPr id="3181" name="Retângulo 3180">
          <a:extLst>
            <a:ext uri="{FF2B5EF4-FFF2-40B4-BE49-F238E27FC236}">
              <a16:creationId xmlns:a16="http://schemas.microsoft.com/office/drawing/2014/main" id="{B4081FC1-0AE2-4587-8CE9-D55E4D4124B3}"/>
            </a:ext>
          </a:extLst>
        </xdr:cNvPr>
        <xdr:cNvSpPr/>
      </xdr:nvSpPr>
      <xdr:spPr>
        <a:xfrm>
          <a:off x="28250583" y="14948870"/>
          <a:ext cx="720000" cy="2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3</xdr:col>
      <xdr:colOff>209049</xdr:colOff>
      <xdr:row>36</xdr:row>
      <xdr:rowOff>215341</xdr:rowOff>
    </xdr:from>
    <xdr:to>
      <xdr:col>3</xdr:col>
      <xdr:colOff>533049</xdr:colOff>
      <xdr:row>37</xdr:row>
      <xdr:rowOff>309572</xdr:rowOff>
    </xdr:to>
    <xdr:sp macro="" textlink="">
      <xdr:nvSpPr>
        <xdr:cNvPr id="3186" name="Elipse 3185">
          <a:extLst>
            <a:ext uri="{FF2B5EF4-FFF2-40B4-BE49-F238E27FC236}">
              <a16:creationId xmlns:a16="http://schemas.microsoft.com/office/drawing/2014/main" id="{C3F2E266-3BBA-46BC-A1B8-ADE2D68AF41E}"/>
            </a:ext>
          </a:extLst>
        </xdr:cNvPr>
        <xdr:cNvSpPr/>
      </xdr:nvSpPr>
      <xdr:spPr>
        <a:xfrm>
          <a:off x="5457324" y="1853641"/>
          <a:ext cx="324000" cy="322831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113</xdr:col>
      <xdr:colOff>309369</xdr:colOff>
      <xdr:row>33</xdr:row>
      <xdr:rowOff>0</xdr:rowOff>
    </xdr:from>
    <xdr:to>
      <xdr:col>113</xdr:col>
      <xdr:colOff>309369</xdr:colOff>
      <xdr:row>33</xdr:row>
      <xdr:rowOff>66675</xdr:rowOff>
    </xdr:to>
    <xdr:cxnSp macro="">
      <xdr:nvCxnSpPr>
        <xdr:cNvPr id="3188" name="Conector reto 3187">
          <a:extLst>
            <a:ext uri="{FF2B5EF4-FFF2-40B4-BE49-F238E27FC236}">
              <a16:creationId xmlns:a16="http://schemas.microsoft.com/office/drawing/2014/main" id="{B0E4DF01-1C32-4355-8B75-ADF542EADB58}"/>
            </a:ext>
          </a:extLst>
        </xdr:cNvPr>
        <xdr:cNvCxnSpPr/>
      </xdr:nvCxnSpPr>
      <xdr:spPr>
        <a:xfrm>
          <a:off x="23112219" y="952500"/>
          <a:ext cx="0" cy="66675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16808</xdr:colOff>
      <xdr:row>21</xdr:row>
      <xdr:rowOff>69374</xdr:rowOff>
    </xdr:from>
    <xdr:to>
      <xdr:col>122</xdr:col>
      <xdr:colOff>304800</xdr:colOff>
      <xdr:row>21</xdr:row>
      <xdr:rowOff>295836</xdr:rowOff>
    </xdr:to>
    <xdr:sp macro="" textlink="">
      <xdr:nvSpPr>
        <xdr:cNvPr id="3189" name="Retângulo 3188">
          <a:extLst>
            <a:ext uri="{FF2B5EF4-FFF2-40B4-BE49-F238E27FC236}">
              <a16:creationId xmlns:a16="http://schemas.microsoft.com/office/drawing/2014/main" id="{EB57B92C-8A87-4D25-976A-7A942247C3EB}"/>
            </a:ext>
          </a:extLst>
        </xdr:cNvPr>
        <xdr:cNvSpPr/>
      </xdr:nvSpPr>
      <xdr:spPr>
        <a:xfrm>
          <a:off x="28219773" y="3260809"/>
          <a:ext cx="1256180" cy="22646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User Req</a:t>
          </a:r>
        </a:p>
      </xdr:txBody>
    </xdr:sp>
    <xdr:clientData/>
  </xdr:twoCellAnchor>
  <xdr:twoCellAnchor>
    <xdr:from>
      <xdr:col>3</xdr:col>
      <xdr:colOff>209550</xdr:colOff>
      <xdr:row>33</xdr:row>
      <xdr:rowOff>0</xdr:rowOff>
    </xdr:from>
    <xdr:to>
      <xdr:col>3</xdr:col>
      <xdr:colOff>533550</xdr:colOff>
      <xdr:row>33</xdr:row>
      <xdr:rowOff>0</xdr:rowOff>
    </xdr:to>
    <xdr:sp macro="" textlink="">
      <xdr:nvSpPr>
        <xdr:cNvPr id="3196" name="Elipse 3195">
          <a:extLst>
            <a:ext uri="{FF2B5EF4-FFF2-40B4-BE49-F238E27FC236}">
              <a16:creationId xmlns:a16="http://schemas.microsoft.com/office/drawing/2014/main" id="{BB204152-23CA-4813-BC2C-A46D353AC8D6}"/>
            </a:ext>
          </a:extLst>
        </xdr:cNvPr>
        <xdr:cNvSpPr/>
      </xdr:nvSpPr>
      <xdr:spPr>
        <a:xfrm>
          <a:off x="5453903" y="8682878"/>
          <a:ext cx="324000" cy="32283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123</xdr:col>
      <xdr:colOff>195003</xdr:colOff>
      <xdr:row>32</xdr:row>
      <xdr:rowOff>1142999</xdr:rowOff>
    </xdr:from>
    <xdr:to>
      <xdr:col>123</xdr:col>
      <xdr:colOff>195003</xdr:colOff>
      <xdr:row>39</xdr:row>
      <xdr:rowOff>70729</xdr:rowOff>
    </xdr:to>
    <xdr:cxnSp macro="">
      <xdr:nvCxnSpPr>
        <xdr:cNvPr id="3169" name="Conector reto 3168">
          <a:extLst>
            <a:ext uri="{FF2B5EF4-FFF2-40B4-BE49-F238E27FC236}">
              <a16:creationId xmlns:a16="http://schemas.microsoft.com/office/drawing/2014/main" id="{3C95D909-0549-4F66-BEE9-1ED8B817E715}"/>
            </a:ext>
          </a:extLst>
        </xdr:cNvPr>
        <xdr:cNvCxnSpPr/>
      </xdr:nvCxnSpPr>
      <xdr:spPr>
        <a:xfrm>
          <a:off x="29346946" y="11865428"/>
          <a:ext cx="0" cy="2432930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56497</xdr:colOff>
      <xdr:row>53</xdr:row>
      <xdr:rowOff>124511</xdr:rowOff>
    </xdr:from>
    <xdr:to>
      <xdr:col>125</xdr:col>
      <xdr:colOff>56497</xdr:colOff>
      <xdr:row>81</xdr:row>
      <xdr:rowOff>102092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209A27C-8CFE-72AA-5746-39E32AC06490}"/>
            </a:ext>
          </a:extLst>
        </xdr:cNvPr>
        <xdr:cNvCxnSpPr/>
      </xdr:nvCxnSpPr>
      <xdr:spPr>
        <a:xfrm>
          <a:off x="30654426" y="18285511"/>
          <a:ext cx="0" cy="6236867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0</xdr:colOff>
      <xdr:row>26</xdr:row>
      <xdr:rowOff>446314</xdr:rowOff>
    </xdr:from>
    <xdr:to>
      <xdr:col>120</xdr:col>
      <xdr:colOff>217714</xdr:colOff>
      <xdr:row>26</xdr:row>
      <xdr:rowOff>664028</xdr:rowOff>
    </xdr:to>
    <xdr:sp macro="" textlink="">
      <xdr:nvSpPr>
        <xdr:cNvPr id="3179" name="Retângulo 3178">
          <a:extLst>
            <a:ext uri="{FF2B5EF4-FFF2-40B4-BE49-F238E27FC236}">
              <a16:creationId xmlns:a16="http://schemas.microsoft.com/office/drawing/2014/main" id="{B7F1BA3E-CAD3-63CD-CCA2-561C193EBD2B}"/>
            </a:ext>
          </a:extLst>
        </xdr:cNvPr>
        <xdr:cNvSpPr/>
      </xdr:nvSpPr>
      <xdr:spPr>
        <a:xfrm>
          <a:off x="26310771" y="9100457"/>
          <a:ext cx="2111829" cy="217714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User Availability</a:t>
          </a:r>
        </a:p>
      </xdr:txBody>
    </xdr:sp>
    <xdr:clientData/>
  </xdr:twoCellAnchor>
  <xdr:twoCellAnchor>
    <xdr:from>
      <xdr:col>126</xdr:col>
      <xdr:colOff>10890</xdr:colOff>
      <xdr:row>42</xdr:row>
      <xdr:rowOff>59872</xdr:rowOff>
    </xdr:from>
    <xdr:to>
      <xdr:col>128</xdr:col>
      <xdr:colOff>279519</xdr:colOff>
      <xdr:row>42</xdr:row>
      <xdr:rowOff>250611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63D5DCDD-6860-4AE7-B538-95FE0FA23ED9}"/>
            </a:ext>
          </a:extLst>
        </xdr:cNvPr>
        <xdr:cNvSpPr/>
      </xdr:nvSpPr>
      <xdr:spPr>
        <a:xfrm>
          <a:off x="30109890" y="15234558"/>
          <a:ext cx="900000" cy="19073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ST/UAT</a:t>
          </a:r>
        </a:p>
      </xdr:txBody>
    </xdr:sp>
    <xdr:clientData/>
  </xdr:twoCellAnchor>
  <xdr:twoCellAnchor>
    <xdr:from>
      <xdr:col>119</xdr:col>
      <xdr:colOff>43546</xdr:colOff>
      <xdr:row>43</xdr:row>
      <xdr:rowOff>35383</xdr:rowOff>
    </xdr:from>
    <xdr:to>
      <xdr:col>124</xdr:col>
      <xdr:colOff>21770</xdr:colOff>
      <xdr:row>43</xdr:row>
      <xdr:rowOff>185058</xdr:rowOff>
    </xdr:to>
    <xdr:sp macro="" textlink="">
      <xdr:nvSpPr>
        <xdr:cNvPr id="29" name="Chave Direita 28">
          <a:extLst>
            <a:ext uri="{FF2B5EF4-FFF2-40B4-BE49-F238E27FC236}">
              <a16:creationId xmlns:a16="http://schemas.microsoft.com/office/drawing/2014/main" id="{33B8B6BE-DFA4-47A7-BDE2-5918C078129E}"/>
            </a:ext>
          </a:extLst>
        </xdr:cNvPr>
        <xdr:cNvSpPr/>
      </xdr:nvSpPr>
      <xdr:spPr>
        <a:xfrm rot="5400000">
          <a:off x="28636235" y="14822265"/>
          <a:ext cx="149675" cy="1556653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118</xdr:col>
      <xdr:colOff>209554</xdr:colOff>
      <xdr:row>43</xdr:row>
      <xdr:rowOff>187779</xdr:rowOff>
    </xdr:from>
    <xdr:ext cx="1728103" cy="436786"/>
    <xdr:sp macro="" textlink="">
      <xdr:nvSpPr>
        <xdr:cNvPr id="3147" name="CaixaDeTexto 3146">
          <a:extLst>
            <a:ext uri="{FF2B5EF4-FFF2-40B4-BE49-F238E27FC236}">
              <a16:creationId xmlns:a16="http://schemas.microsoft.com/office/drawing/2014/main" id="{F5B48D8A-5504-4FB1-B684-30F71DB26F92}"/>
            </a:ext>
          </a:extLst>
        </xdr:cNvPr>
        <xdr:cNvSpPr txBox="1"/>
      </xdr:nvSpPr>
      <xdr:spPr>
        <a:xfrm>
          <a:off x="27783068" y="15678150"/>
          <a:ext cx="17281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Mandatory Change request</a:t>
          </a:r>
        </a:p>
      </xdr:txBody>
    </xdr:sp>
    <xdr:clientData/>
  </xdr:oneCellAnchor>
  <xdr:twoCellAnchor>
    <xdr:from>
      <xdr:col>119</xdr:col>
      <xdr:colOff>41461</xdr:colOff>
      <xdr:row>12</xdr:row>
      <xdr:rowOff>150982</xdr:rowOff>
    </xdr:from>
    <xdr:to>
      <xdr:col>122</xdr:col>
      <xdr:colOff>283594</xdr:colOff>
      <xdr:row>12</xdr:row>
      <xdr:rowOff>402847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9433A6EB-ACC6-48CC-80D4-ED0987DFDA6B}"/>
            </a:ext>
          </a:extLst>
        </xdr:cNvPr>
        <xdr:cNvSpPr/>
      </xdr:nvSpPr>
      <xdr:spPr>
        <a:xfrm>
          <a:off x="28244426" y="1522582"/>
          <a:ext cx="1210321" cy="2518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oneCellAnchor>
    <xdr:from>
      <xdr:col>127</xdr:col>
      <xdr:colOff>282728</xdr:colOff>
      <xdr:row>11</xdr:row>
      <xdr:rowOff>206610</xdr:rowOff>
    </xdr:from>
    <xdr:ext cx="612000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F14C1750-723C-417A-8A9A-3171E4361709}"/>
            </a:ext>
          </a:extLst>
        </xdr:cNvPr>
        <xdr:cNvSpPr txBox="1"/>
      </xdr:nvSpPr>
      <xdr:spPr>
        <a:xfrm>
          <a:off x="31067528" y="1345128"/>
          <a:ext cx="612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pt-BR" sz="1100"/>
            <a:t>Go-Live</a:t>
          </a:r>
        </a:p>
      </xdr:txBody>
    </xdr:sp>
    <xdr:clientData/>
  </xdr:oneCellAnchor>
  <xdr:twoCellAnchor>
    <xdr:from>
      <xdr:col>123</xdr:col>
      <xdr:colOff>16665</xdr:colOff>
      <xdr:row>12</xdr:row>
      <xdr:rowOff>142703</xdr:rowOff>
    </xdr:from>
    <xdr:to>
      <xdr:col>124</xdr:col>
      <xdr:colOff>305935</xdr:colOff>
      <xdr:row>12</xdr:row>
      <xdr:rowOff>390353</xdr:rowOff>
    </xdr:to>
    <xdr:sp macro="" textlink="">
      <xdr:nvSpPr>
        <xdr:cNvPr id="3160" name="Retângulo 3159">
          <a:extLst>
            <a:ext uri="{FF2B5EF4-FFF2-40B4-BE49-F238E27FC236}">
              <a16:creationId xmlns:a16="http://schemas.microsoft.com/office/drawing/2014/main" id="{0038B554-01CD-491B-95A7-9F32157E876F}"/>
            </a:ext>
          </a:extLst>
        </xdr:cNvPr>
        <xdr:cNvSpPr/>
      </xdr:nvSpPr>
      <xdr:spPr>
        <a:xfrm>
          <a:off x="29510547" y="1514303"/>
          <a:ext cx="612000" cy="247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124</xdr:col>
      <xdr:colOff>313838</xdr:colOff>
      <xdr:row>12</xdr:row>
      <xdr:rowOff>139066</xdr:rowOff>
    </xdr:from>
    <xdr:to>
      <xdr:col>127</xdr:col>
      <xdr:colOff>317650</xdr:colOff>
      <xdr:row>12</xdr:row>
      <xdr:rowOff>390353</xdr:rowOff>
    </xdr:to>
    <xdr:sp macro="" textlink="">
      <xdr:nvSpPr>
        <xdr:cNvPr id="3167" name="Retângulo 3166">
          <a:extLst>
            <a:ext uri="{FF2B5EF4-FFF2-40B4-BE49-F238E27FC236}">
              <a16:creationId xmlns:a16="http://schemas.microsoft.com/office/drawing/2014/main" id="{4D24D546-F37C-4B04-8607-D8069975D794}"/>
            </a:ext>
          </a:extLst>
        </xdr:cNvPr>
        <xdr:cNvSpPr/>
      </xdr:nvSpPr>
      <xdr:spPr>
        <a:xfrm>
          <a:off x="30130450" y="1510666"/>
          <a:ext cx="972000" cy="25128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3</xdr:col>
      <xdr:colOff>209550</xdr:colOff>
      <xdr:row>12</xdr:row>
      <xdr:rowOff>390525</xdr:rowOff>
    </xdr:from>
    <xdr:to>
      <xdr:col>3</xdr:col>
      <xdr:colOff>533550</xdr:colOff>
      <xdr:row>12</xdr:row>
      <xdr:rowOff>713355</xdr:rowOff>
    </xdr:to>
    <xdr:sp macro="" textlink="">
      <xdr:nvSpPr>
        <xdr:cNvPr id="3177" name="Elipse 3176">
          <a:extLst>
            <a:ext uri="{FF2B5EF4-FFF2-40B4-BE49-F238E27FC236}">
              <a16:creationId xmlns:a16="http://schemas.microsoft.com/office/drawing/2014/main" id="{67D01108-1D1E-476A-AE12-8B20309B22AC}"/>
            </a:ext>
          </a:extLst>
        </xdr:cNvPr>
        <xdr:cNvSpPr/>
      </xdr:nvSpPr>
      <xdr:spPr>
        <a:xfrm>
          <a:off x="5606303" y="2300007"/>
          <a:ext cx="324000" cy="32283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128</xdr:col>
      <xdr:colOff>197367</xdr:colOff>
      <xdr:row>12</xdr:row>
      <xdr:rowOff>242441</xdr:rowOff>
    </xdr:from>
    <xdr:to>
      <xdr:col>129</xdr:col>
      <xdr:colOff>15890</xdr:colOff>
      <xdr:row>12</xdr:row>
      <xdr:rowOff>389117</xdr:rowOff>
    </xdr:to>
    <xdr:sp macro="" textlink="">
      <xdr:nvSpPr>
        <xdr:cNvPr id="3178" name="Estrela: 5 Pontas 3177">
          <a:extLst>
            <a:ext uri="{FF2B5EF4-FFF2-40B4-BE49-F238E27FC236}">
              <a16:creationId xmlns:a16="http://schemas.microsoft.com/office/drawing/2014/main" id="{CFA2C8FC-34D9-4500-94AD-36718CE58CA7}"/>
            </a:ext>
          </a:extLst>
        </xdr:cNvPr>
        <xdr:cNvSpPr/>
      </xdr:nvSpPr>
      <xdr:spPr>
        <a:xfrm>
          <a:off x="31304896" y="1614041"/>
          <a:ext cx="141253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53</xdr:col>
      <xdr:colOff>118412</xdr:colOff>
      <xdr:row>8</xdr:row>
      <xdr:rowOff>0</xdr:rowOff>
    </xdr:from>
    <xdr:ext cx="184731" cy="280205"/>
    <xdr:sp macro="" textlink="">
      <xdr:nvSpPr>
        <xdr:cNvPr id="3193" name="CaixaDeTexto 3192">
          <a:extLst>
            <a:ext uri="{FF2B5EF4-FFF2-40B4-BE49-F238E27FC236}">
              <a16:creationId xmlns:a16="http://schemas.microsoft.com/office/drawing/2014/main" id="{61EF5B54-C8BB-4F31-88DD-2907E9253240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8</xdr:row>
      <xdr:rowOff>0</xdr:rowOff>
    </xdr:from>
    <xdr:ext cx="184731" cy="280205"/>
    <xdr:sp macro="" textlink="">
      <xdr:nvSpPr>
        <xdr:cNvPr id="3194" name="CaixaDeTexto 3193">
          <a:extLst>
            <a:ext uri="{FF2B5EF4-FFF2-40B4-BE49-F238E27FC236}">
              <a16:creationId xmlns:a16="http://schemas.microsoft.com/office/drawing/2014/main" id="{24CC1960-935B-4BB1-9D48-8BB7D2DE4CA4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8</xdr:row>
      <xdr:rowOff>0</xdr:rowOff>
    </xdr:from>
    <xdr:ext cx="184731" cy="280205"/>
    <xdr:sp macro="" textlink="">
      <xdr:nvSpPr>
        <xdr:cNvPr id="3199" name="CaixaDeTexto 3198">
          <a:extLst>
            <a:ext uri="{FF2B5EF4-FFF2-40B4-BE49-F238E27FC236}">
              <a16:creationId xmlns:a16="http://schemas.microsoft.com/office/drawing/2014/main" id="{16B58B8C-5629-4AB7-8E3B-5ADC0258DAA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118412</xdr:colOff>
      <xdr:row>8</xdr:row>
      <xdr:rowOff>0</xdr:rowOff>
    </xdr:from>
    <xdr:ext cx="184731" cy="280205"/>
    <xdr:sp macro="" textlink="">
      <xdr:nvSpPr>
        <xdr:cNvPr id="3201" name="CaixaDeTexto 3200">
          <a:extLst>
            <a:ext uri="{FF2B5EF4-FFF2-40B4-BE49-F238E27FC236}">
              <a16:creationId xmlns:a16="http://schemas.microsoft.com/office/drawing/2014/main" id="{680670B2-3BF3-4E7B-A78E-FC14EE80029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03" name="CaixaDeTexto 3202">
          <a:extLst>
            <a:ext uri="{FF2B5EF4-FFF2-40B4-BE49-F238E27FC236}">
              <a16:creationId xmlns:a16="http://schemas.microsoft.com/office/drawing/2014/main" id="{CBFFB77B-9178-4EFC-A8D6-E166375A5913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06" name="CaixaDeTexto 3205">
          <a:extLst>
            <a:ext uri="{FF2B5EF4-FFF2-40B4-BE49-F238E27FC236}">
              <a16:creationId xmlns:a16="http://schemas.microsoft.com/office/drawing/2014/main" id="{C2C447A7-207E-4A90-A839-DDF9C8C681A5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59</xdr:col>
      <xdr:colOff>243360</xdr:colOff>
      <xdr:row>8</xdr:row>
      <xdr:rowOff>0</xdr:rowOff>
    </xdr:from>
    <xdr:ext cx="184731" cy="280205"/>
    <xdr:sp macro="" textlink="">
      <xdr:nvSpPr>
        <xdr:cNvPr id="3209" name="CaixaDeTexto 3208">
          <a:extLst>
            <a:ext uri="{FF2B5EF4-FFF2-40B4-BE49-F238E27FC236}">
              <a16:creationId xmlns:a16="http://schemas.microsoft.com/office/drawing/2014/main" id="{E08D2EDF-4CDC-448F-BEFE-D951F81EBFFA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59</xdr:col>
      <xdr:colOff>243360</xdr:colOff>
      <xdr:row>8</xdr:row>
      <xdr:rowOff>0</xdr:rowOff>
    </xdr:from>
    <xdr:ext cx="184731" cy="280205"/>
    <xdr:sp macro="" textlink="">
      <xdr:nvSpPr>
        <xdr:cNvPr id="3210" name="CaixaDeTexto 3209">
          <a:extLst>
            <a:ext uri="{FF2B5EF4-FFF2-40B4-BE49-F238E27FC236}">
              <a16:creationId xmlns:a16="http://schemas.microsoft.com/office/drawing/2014/main" id="{FBDD3727-F4B3-4CFE-B06F-213CEDB98AD0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211" name="CaixaDeTexto 3210">
          <a:extLst>
            <a:ext uri="{FF2B5EF4-FFF2-40B4-BE49-F238E27FC236}">
              <a16:creationId xmlns:a16="http://schemas.microsoft.com/office/drawing/2014/main" id="{432D695B-F685-4B4D-9B51-E9D5D4198F99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8</xdr:row>
      <xdr:rowOff>0</xdr:rowOff>
    </xdr:from>
    <xdr:ext cx="184731" cy="280205"/>
    <xdr:sp macro="" textlink="">
      <xdr:nvSpPr>
        <xdr:cNvPr id="3216" name="CaixaDeTexto 3215">
          <a:extLst>
            <a:ext uri="{FF2B5EF4-FFF2-40B4-BE49-F238E27FC236}">
              <a16:creationId xmlns:a16="http://schemas.microsoft.com/office/drawing/2014/main" id="{687DD5AD-BAE0-4B0C-8F65-C648F174BBF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8</xdr:row>
      <xdr:rowOff>0</xdr:rowOff>
    </xdr:from>
    <xdr:ext cx="184731" cy="280205"/>
    <xdr:sp macro="" textlink="">
      <xdr:nvSpPr>
        <xdr:cNvPr id="3220" name="CaixaDeTexto 3219">
          <a:extLst>
            <a:ext uri="{FF2B5EF4-FFF2-40B4-BE49-F238E27FC236}">
              <a16:creationId xmlns:a16="http://schemas.microsoft.com/office/drawing/2014/main" id="{0B4A99FC-09F8-42A2-8E1B-EFD7AFB898BA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141944</xdr:colOff>
      <xdr:row>8</xdr:row>
      <xdr:rowOff>0</xdr:rowOff>
    </xdr:from>
    <xdr:ext cx="184731" cy="280205"/>
    <xdr:sp macro="" textlink="">
      <xdr:nvSpPr>
        <xdr:cNvPr id="3221" name="CaixaDeTexto 3220">
          <a:extLst>
            <a:ext uri="{FF2B5EF4-FFF2-40B4-BE49-F238E27FC236}">
              <a16:creationId xmlns:a16="http://schemas.microsoft.com/office/drawing/2014/main" id="{870C375E-FB8F-442C-B48C-DA86B22E20B2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22" name="CaixaDeTexto 3221">
          <a:extLst>
            <a:ext uri="{FF2B5EF4-FFF2-40B4-BE49-F238E27FC236}">
              <a16:creationId xmlns:a16="http://schemas.microsoft.com/office/drawing/2014/main" id="{A4CD4D43-AB28-40CD-B2AF-56016DD46CB3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23" name="CaixaDeTexto 3222">
          <a:extLst>
            <a:ext uri="{FF2B5EF4-FFF2-40B4-BE49-F238E27FC236}">
              <a16:creationId xmlns:a16="http://schemas.microsoft.com/office/drawing/2014/main" id="{84F530F1-C90D-4355-82C3-E7C686B91D2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24" name="CaixaDeTexto 3223">
          <a:extLst>
            <a:ext uri="{FF2B5EF4-FFF2-40B4-BE49-F238E27FC236}">
              <a16:creationId xmlns:a16="http://schemas.microsoft.com/office/drawing/2014/main" id="{441608F4-6650-4F56-8CAF-12B9D4FCA41F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25" name="CaixaDeTexto 3224">
          <a:extLst>
            <a:ext uri="{FF2B5EF4-FFF2-40B4-BE49-F238E27FC236}">
              <a16:creationId xmlns:a16="http://schemas.microsoft.com/office/drawing/2014/main" id="{BE9D7CC3-A79E-439E-930E-A141163851CA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26" name="CaixaDeTexto 3225">
          <a:extLst>
            <a:ext uri="{FF2B5EF4-FFF2-40B4-BE49-F238E27FC236}">
              <a16:creationId xmlns:a16="http://schemas.microsoft.com/office/drawing/2014/main" id="{EC811EE9-FC86-45AB-A49E-5B5269445C6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27" name="CaixaDeTexto 3226">
          <a:extLst>
            <a:ext uri="{FF2B5EF4-FFF2-40B4-BE49-F238E27FC236}">
              <a16:creationId xmlns:a16="http://schemas.microsoft.com/office/drawing/2014/main" id="{C2B8E2F9-43B1-4A2E-826A-C848B462A5A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8</xdr:row>
      <xdr:rowOff>0</xdr:rowOff>
    </xdr:from>
    <xdr:ext cx="184731" cy="280205"/>
    <xdr:sp macro="" textlink="">
      <xdr:nvSpPr>
        <xdr:cNvPr id="3238" name="CaixaDeTexto 3237">
          <a:extLst>
            <a:ext uri="{FF2B5EF4-FFF2-40B4-BE49-F238E27FC236}">
              <a16:creationId xmlns:a16="http://schemas.microsoft.com/office/drawing/2014/main" id="{DD0470B9-D82F-4C06-BA23-89128E2F2C51}"/>
            </a:ext>
          </a:extLst>
        </xdr:cNvPr>
        <xdr:cNvSpPr txBox="1"/>
      </xdr:nvSpPr>
      <xdr:spPr>
        <a:xfrm>
          <a:off x="14790273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8</xdr:row>
      <xdr:rowOff>0</xdr:rowOff>
    </xdr:from>
    <xdr:ext cx="184731" cy="280205"/>
    <xdr:sp macro="" textlink="">
      <xdr:nvSpPr>
        <xdr:cNvPr id="3240" name="CaixaDeTexto 3239">
          <a:extLst>
            <a:ext uri="{FF2B5EF4-FFF2-40B4-BE49-F238E27FC236}">
              <a16:creationId xmlns:a16="http://schemas.microsoft.com/office/drawing/2014/main" id="{5A6B3D0A-09F4-4B20-8F27-7D0AEA540E57}"/>
            </a:ext>
          </a:extLst>
        </xdr:cNvPr>
        <xdr:cNvSpPr txBox="1"/>
      </xdr:nvSpPr>
      <xdr:spPr>
        <a:xfrm>
          <a:off x="14790273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241" name="CaixaDeTexto 3240">
          <a:extLst>
            <a:ext uri="{FF2B5EF4-FFF2-40B4-BE49-F238E27FC236}">
              <a16:creationId xmlns:a16="http://schemas.microsoft.com/office/drawing/2014/main" id="{6179D00C-528A-4B94-9EE6-B49525AFF0C4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8</xdr:row>
      <xdr:rowOff>0</xdr:rowOff>
    </xdr:from>
    <xdr:ext cx="184731" cy="280205"/>
    <xdr:sp macro="" textlink="">
      <xdr:nvSpPr>
        <xdr:cNvPr id="3245" name="CaixaDeTexto 3244">
          <a:extLst>
            <a:ext uri="{FF2B5EF4-FFF2-40B4-BE49-F238E27FC236}">
              <a16:creationId xmlns:a16="http://schemas.microsoft.com/office/drawing/2014/main" id="{A32E5E4E-45D9-461A-8BDD-C46F3882668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62385</xdr:colOff>
      <xdr:row>8</xdr:row>
      <xdr:rowOff>0</xdr:rowOff>
    </xdr:from>
    <xdr:ext cx="184731" cy="280205"/>
    <xdr:sp macro="" textlink="">
      <xdr:nvSpPr>
        <xdr:cNvPr id="3248" name="CaixaDeTexto 3247">
          <a:extLst>
            <a:ext uri="{FF2B5EF4-FFF2-40B4-BE49-F238E27FC236}">
              <a16:creationId xmlns:a16="http://schemas.microsoft.com/office/drawing/2014/main" id="{03DCC5AC-953F-421E-BB04-E2C2C588F266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49" name="CaixaDeTexto 3248">
          <a:extLst>
            <a:ext uri="{FF2B5EF4-FFF2-40B4-BE49-F238E27FC236}">
              <a16:creationId xmlns:a16="http://schemas.microsoft.com/office/drawing/2014/main" id="{7E1B25C6-B61E-4261-B420-A3B657419E06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52" name="CaixaDeTexto 3251">
          <a:extLst>
            <a:ext uri="{FF2B5EF4-FFF2-40B4-BE49-F238E27FC236}">
              <a16:creationId xmlns:a16="http://schemas.microsoft.com/office/drawing/2014/main" id="{03CD4B9A-D6CF-48F0-8BEF-701899AA31E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53" name="CaixaDeTexto 3252">
          <a:extLst>
            <a:ext uri="{FF2B5EF4-FFF2-40B4-BE49-F238E27FC236}">
              <a16:creationId xmlns:a16="http://schemas.microsoft.com/office/drawing/2014/main" id="{1A5FA48F-9B27-4831-A11C-1F3CA5809D35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54" name="CaixaDeTexto 3253">
          <a:extLst>
            <a:ext uri="{FF2B5EF4-FFF2-40B4-BE49-F238E27FC236}">
              <a16:creationId xmlns:a16="http://schemas.microsoft.com/office/drawing/2014/main" id="{4DA1F85B-4E03-482D-BF2F-C43E8BD76C99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8</xdr:row>
      <xdr:rowOff>0</xdr:rowOff>
    </xdr:from>
    <xdr:ext cx="184731" cy="280205"/>
    <xdr:sp macro="" textlink="">
      <xdr:nvSpPr>
        <xdr:cNvPr id="3257" name="CaixaDeTexto 3256">
          <a:extLst>
            <a:ext uri="{FF2B5EF4-FFF2-40B4-BE49-F238E27FC236}">
              <a16:creationId xmlns:a16="http://schemas.microsoft.com/office/drawing/2014/main" id="{050539D3-B328-4CBF-A7E6-F9BADBBC9312}"/>
            </a:ext>
          </a:extLst>
        </xdr:cNvPr>
        <xdr:cNvSpPr txBox="1"/>
      </xdr:nvSpPr>
      <xdr:spPr>
        <a:xfrm>
          <a:off x="14790273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76</xdr:col>
      <xdr:colOff>141944</xdr:colOff>
      <xdr:row>8</xdr:row>
      <xdr:rowOff>0</xdr:rowOff>
    </xdr:from>
    <xdr:ext cx="184731" cy="280205"/>
    <xdr:sp macro="" textlink="">
      <xdr:nvSpPr>
        <xdr:cNvPr id="3259" name="CaixaDeTexto 3258">
          <a:extLst>
            <a:ext uri="{FF2B5EF4-FFF2-40B4-BE49-F238E27FC236}">
              <a16:creationId xmlns:a16="http://schemas.microsoft.com/office/drawing/2014/main" id="{A114BACE-CE34-4029-9EB2-C69CBAE82B3D}"/>
            </a:ext>
          </a:extLst>
        </xdr:cNvPr>
        <xdr:cNvSpPr txBox="1"/>
      </xdr:nvSpPr>
      <xdr:spPr>
        <a:xfrm>
          <a:off x="14790273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260" name="CaixaDeTexto 3259">
          <a:extLst>
            <a:ext uri="{FF2B5EF4-FFF2-40B4-BE49-F238E27FC236}">
              <a16:creationId xmlns:a16="http://schemas.microsoft.com/office/drawing/2014/main" id="{8438E492-10BB-4FC8-A26C-CFC9F6DEBE8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261" name="CaixaDeTexto 3260">
          <a:extLst>
            <a:ext uri="{FF2B5EF4-FFF2-40B4-BE49-F238E27FC236}">
              <a16:creationId xmlns:a16="http://schemas.microsoft.com/office/drawing/2014/main" id="{9EF185C6-E25D-45F5-973D-4E0AA294C9E3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62" name="CaixaDeTexto 3261">
          <a:extLst>
            <a:ext uri="{FF2B5EF4-FFF2-40B4-BE49-F238E27FC236}">
              <a16:creationId xmlns:a16="http://schemas.microsoft.com/office/drawing/2014/main" id="{CF2DB42D-96C3-4FC5-99A6-A2F654A9F8F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263" name="CaixaDeTexto 3262">
          <a:extLst>
            <a:ext uri="{FF2B5EF4-FFF2-40B4-BE49-F238E27FC236}">
              <a16:creationId xmlns:a16="http://schemas.microsoft.com/office/drawing/2014/main" id="{7BA17287-DCA2-4BF5-97FE-739D1A0E51B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68" name="CaixaDeTexto 3267">
          <a:extLst>
            <a:ext uri="{FF2B5EF4-FFF2-40B4-BE49-F238E27FC236}">
              <a16:creationId xmlns:a16="http://schemas.microsoft.com/office/drawing/2014/main" id="{BC59910D-E824-4701-A504-34B095776819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69" name="CaixaDeTexto 3268">
          <a:extLst>
            <a:ext uri="{FF2B5EF4-FFF2-40B4-BE49-F238E27FC236}">
              <a16:creationId xmlns:a16="http://schemas.microsoft.com/office/drawing/2014/main" id="{95AA8B06-2E93-433C-9B6B-20B39A4F1FB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73" name="CaixaDeTexto 3272">
          <a:extLst>
            <a:ext uri="{FF2B5EF4-FFF2-40B4-BE49-F238E27FC236}">
              <a16:creationId xmlns:a16="http://schemas.microsoft.com/office/drawing/2014/main" id="{F99A9C46-BA3C-49F9-87BB-3CA19E0CB727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274" name="CaixaDeTexto 3273">
          <a:extLst>
            <a:ext uri="{FF2B5EF4-FFF2-40B4-BE49-F238E27FC236}">
              <a16:creationId xmlns:a16="http://schemas.microsoft.com/office/drawing/2014/main" id="{22CCE754-3502-483B-AC18-C3996FB6B2D8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275" name="CaixaDeTexto 3274">
          <a:extLst>
            <a:ext uri="{FF2B5EF4-FFF2-40B4-BE49-F238E27FC236}">
              <a16:creationId xmlns:a16="http://schemas.microsoft.com/office/drawing/2014/main" id="{700B65F0-5CAE-49FC-B034-D4D20EACF76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90" name="CaixaDeTexto 3289">
          <a:extLst>
            <a:ext uri="{FF2B5EF4-FFF2-40B4-BE49-F238E27FC236}">
              <a16:creationId xmlns:a16="http://schemas.microsoft.com/office/drawing/2014/main" id="{0995EFC3-AD19-4CC0-9DE1-D69809F81F8F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293" name="CaixaDeTexto 3292">
          <a:extLst>
            <a:ext uri="{FF2B5EF4-FFF2-40B4-BE49-F238E27FC236}">
              <a16:creationId xmlns:a16="http://schemas.microsoft.com/office/drawing/2014/main" id="{BF28B27B-BCB7-4984-8841-BFF563C0CD4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05" name="CaixaDeTexto 3304">
          <a:extLst>
            <a:ext uri="{FF2B5EF4-FFF2-40B4-BE49-F238E27FC236}">
              <a16:creationId xmlns:a16="http://schemas.microsoft.com/office/drawing/2014/main" id="{0DA4C011-EF96-4EC8-AC4D-2C5D4C114363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07" name="CaixaDeTexto 3306">
          <a:extLst>
            <a:ext uri="{FF2B5EF4-FFF2-40B4-BE49-F238E27FC236}">
              <a16:creationId xmlns:a16="http://schemas.microsoft.com/office/drawing/2014/main" id="{09C3311B-B43F-4CFA-9CB8-9B0DC3613247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32" name="CaixaDeTexto 3331">
          <a:extLst>
            <a:ext uri="{FF2B5EF4-FFF2-40B4-BE49-F238E27FC236}">
              <a16:creationId xmlns:a16="http://schemas.microsoft.com/office/drawing/2014/main" id="{DA9B71D0-1C62-439E-88B9-BA67BFBA685D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39" name="CaixaDeTexto 3338">
          <a:extLst>
            <a:ext uri="{FF2B5EF4-FFF2-40B4-BE49-F238E27FC236}">
              <a16:creationId xmlns:a16="http://schemas.microsoft.com/office/drawing/2014/main" id="{1F571A56-0B0C-4274-8277-E97D78061C7A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58</xdr:col>
      <xdr:colOff>141944</xdr:colOff>
      <xdr:row>8</xdr:row>
      <xdr:rowOff>0</xdr:rowOff>
    </xdr:from>
    <xdr:ext cx="184731" cy="280205"/>
    <xdr:sp macro="" textlink="">
      <xdr:nvSpPr>
        <xdr:cNvPr id="3340" name="CaixaDeTexto 3339">
          <a:extLst>
            <a:ext uri="{FF2B5EF4-FFF2-40B4-BE49-F238E27FC236}">
              <a16:creationId xmlns:a16="http://schemas.microsoft.com/office/drawing/2014/main" id="{4A7EA30D-CE4A-4BCD-A89A-AE8FFE05DAB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45" name="CaixaDeTexto 3344">
          <a:extLst>
            <a:ext uri="{FF2B5EF4-FFF2-40B4-BE49-F238E27FC236}">
              <a16:creationId xmlns:a16="http://schemas.microsoft.com/office/drawing/2014/main" id="{97581129-B5AC-4A68-8D5C-F5AE971E25E6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46" name="CaixaDeTexto 3345">
          <a:extLst>
            <a:ext uri="{FF2B5EF4-FFF2-40B4-BE49-F238E27FC236}">
              <a16:creationId xmlns:a16="http://schemas.microsoft.com/office/drawing/2014/main" id="{ED8B17B6-7B10-413E-AB60-BE00A726FA7D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47" name="CaixaDeTexto 3346">
          <a:extLst>
            <a:ext uri="{FF2B5EF4-FFF2-40B4-BE49-F238E27FC236}">
              <a16:creationId xmlns:a16="http://schemas.microsoft.com/office/drawing/2014/main" id="{EE387293-A3F1-4793-8F69-CFFF70F40A99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48" name="CaixaDeTexto 3347">
          <a:extLst>
            <a:ext uri="{FF2B5EF4-FFF2-40B4-BE49-F238E27FC236}">
              <a16:creationId xmlns:a16="http://schemas.microsoft.com/office/drawing/2014/main" id="{C0E11975-F789-44F4-B250-FA6FF9772A04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49" name="CaixaDeTexto 3348">
          <a:extLst>
            <a:ext uri="{FF2B5EF4-FFF2-40B4-BE49-F238E27FC236}">
              <a16:creationId xmlns:a16="http://schemas.microsoft.com/office/drawing/2014/main" id="{EE983957-0576-41E5-A613-2DE45FCBCFA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50" name="CaixaDeTexto 3349">
          <a:extLst>
            <a:ext uri="{FF2B5EF4-FFF2-40B4-BE49-F238E27FC236}">
              <a16:creationId xmlns:a16="http://schemas.microsoft.com/office/drawing/2014/main" id="{631CDAE7-6A4C-42A3-BEB7-2DC6332F60A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51" name="CaixaDeTexto 3350">
          <a:extLst>
            <a:ext uri="{FF2B5EF4-FFF2-40B4-BE49-F238E27FC236}">
              <a16:creationId xmlns:a16="http://schemas.microsoft.com/office/drawing/2014/main" id="{10F81A79-07F1-4EE0-9D55-FA0DE5C19DE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52" name="CaixaDeTexto 3351">
          <a:extLst>
            <a:ext uri="{FF2B5EF4-FFF2-40B4-BE49-F238E27FC236}">
              <a16:creationId xmlns:a16="http://schemas.microsoft.com/office/drawing/2014/main" id="{C764DA12-BA8E-4C4A-AB9E-116B26859810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53" name="CaixaDeTexto 3352">
          <a:extLst>
            <a:ext uri="{FF2B5EF4-FFF2-40B4-BE49-F238E27FC236}">
              <a16:creationId xmlns:a16="http://schemas.microsoft.com/office/drawing/2014/main" id="{93607F38-2EBB-4978-8C06-CB5AB077A708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54" name="CaixaDeTexto 3353">
          <a:extLst>
            <a:ext uri="{FF2B5EF4-FFF2-40B4-BE49-F238E27FC236}">
              <a16:creationId xmlns:a16="http://schemas.microsoft.com/office/drawing/2014/main" id="{21F6F1FF-3181-4508-B445-47FE2BC00EA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55" name="CaixaDeTexto 3354">
          <a:extLst>
            <a:ext uri="{FF2B5EF4-FFF2-40B4-BE49-F238E27FC236}">
              <a16:creationId xmlns:a16="http://schemas.microsoft.com/office/drawing/2014/main" id="{7B5B8833-9A56-4AA5-8F61-466BC29F0DEF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56" name="CaixaDeTexto 3355">
          <a:extLst>
            <a:ext uri="{FF2B5EF4-FFF2-40B4-BE49-F238E27FC236}">
              <a16:creationId xmlns:a16="http://schemas.microsoft.com/office/drawing/2014/main" id="{1750BAEC-04D1-44A2-85CB-E328365DF890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57" name="CaixaDeTexto 3356">
          <a:extLst>
            <a:ext uri="{FF2B5EF4-FFF2-40B4-BE49-F238E27FC236}">
              <a16:creationId xmlns:a16="http://schemas.microsoft.com/office/drawing/2014/main" id="{42E7D23E-1751-49AE-B4EA-7579BFCB1095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58" name="CaixaDeTexto 3357">
          <a:extLst>
            <a:ext uri="{FF2B5EF4-FFF2-40B4-BE49-F238E27FC236}">
              <a16:creationId xmlns:a16="http://schemas.microsoft.com/office/drawing/2014/main" id="{F96A41F5-8994-4B7D-BB9B-291B7CD246E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61" name="CaixaDeTexto 3360">
          <a:extLst>
            <a:ext uri="{FF2B5EF4-FFF2-40B4-BE49-F238E27FC236}">
              <a16:creationId xmlns:a16="http://schemas.microsoft.com/office/drawing/2014/main" id="{89CD3970-DF6A-483F-BDB1-2325FB7B126F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62" name="CaixaDeTexto 3361">
          <a:extLst>
            <a:ext uri="{FF2B5EF4-FFF2-40B4-BE49-F238E27FC236}">
              <a16:creationId xmlns:a16="http://schemas.microsoft.com/office/drawing/2014/main" id="{D16F6F47-5181-4921-85D1-3698E0C06B69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63" name="CaixaDeTexto 3362">
          <a:extLst>
            <a:ext uri="{FF2B5EF4-FFF2-40B4-BE49-F238E27FC236}">
              <a16:creationId xmlns:a16="http://schemas.microsoft.com/office/drawing/2014/main" id="{E69AF61B-2013-41EB-9B18-71320AD44256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64" name="CaixaDeTexto 3363">
          <a:extLst>
            <a:ext uri="{FF2B5EF4-FFF2-40B4-BE49-F238E27FC236}">
              <a16:creationId xmlns:a16="http://schemas.microsoft.com/office/drawing/2014/main" id="{2A845AB9-465B-4043-9315-3B3B6B5C5F03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365" name="CaixaDeTexto 3364">
          <a:extLst>
            <a:ext uri="{FF2B5EF4-FFF2-40B4-BE49-F238E27FC236}">
              <a16:creationId xmlns:a16="http://schemas.microsoft.com/office/drawing/2014/main" id="{F9C6C639-B550-4B61-BD3D-E54C64C240E4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66" name="CaixaDeTexto 3365">
          <a:extLst>
            <a:ext uri="{FF2B5EF4-FFF2-40B4-BE49-F238E27FC236}">
              <a16:creationId xmlns:a16="http://schemas.microsoft.com/office/drawing/2014/main" id="{EC2A4EBF-5799-4CED-BCC8-66E22CE2CFE5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67</xdr:col>
      <xdr:colOff>141944</xdr:colOff>
      <xdr:row>8</xdr:row>
      <xdr:rowOff>0</xdr:rowOff>
    </xdr:from>
    <xdr:ext cx="184731" cy="280205"/>
    <xdr:sp macro="" textlink="">
      <xdr:nvSpPr>
        <xdr:cNvPr id="3367" name="CaixaDeTexto 3366">
          <a:extLst>
            <a:ext uri="{FF2B5EF4-FFF2-40B4-BE49-F238E27FC236}">
              <a16:creationId xmlns:a16="http://schemas.microsoft.com/office/drawing/2014/main" id="{73F1E55E-CD95-4DB6-90FF-3E6400304621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68" name="CaixaDeTexto 3367">
          <a:extLst>
            <a:ext uri="{FF2B5EF4-FFF2-40B4-BE49-F238E27FC236}">
              <a16:creationId xmlns:a16="http://schemas.microsoft.com/office/drawing/2014/main" id="{6546F501-9236-4866-896A-02CEFF348B1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71</xdr:col>
      <xdr:colOff>141944</xdr:colOff>
      <xdr:row>8</xdr:row>
      <xdr:rowOff>0</xdr:rowOff>
    </xdr:from>
    <xdr:ext cx="184731" cy="280205"/>
    <xdr:sp macro="" textlink="">
      <xdr:nvSpPr>
        <xdr:cNvPr id="3371" name="CaixaDeTexto 3370">
          <a:extLst>
            <a:ext uri="{FF2B5EF4-FFF2-40B4-BE49-F238E27FC236}">
              <a16:creationId xmlns:a16="http://schemas.microsoft.com/office/drawing/2014/main" id="{059DCD6C-2FC5-4B08-A13C-95536B026227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72" name="CaixaDeTexto 3371">
          <a:extLst>
            <a:ext uri="{FF2B5EF4-FFF2-40B4-BE49-F238E27FC236}">
              <a16:creationId xmlns:a16="http://schemas.microsoft.com/office/drawing/2014/main" id="{1E37C28F-5F76-4822-98A2-9AA1E49CD78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66</xdr:col>
      <xdr:colOff>129057</xdr:colOff>
      <xdr:row>8</xdr:row>
      <xdr:rowOff>0</xdr:rowOff>
    </xdr:from>
    <xdr:ext cx="184731" cy="280205"/>
    <xdr:sp macro="" textlink="">
      <xdr:nvSpPr>
        <xdr:cNvPr id="3375" name="CaixaDeTexto 3374">
          <a:extLst>
            <a:ext uri="{FF2B5EF4-FFF2-40B4-BE49-F238E27FC236}">
              <a16:creationId xmlns:a16="http://schemas.microsoft.com/office/drawing/2014/main" id="{EB3E8FBE-D1D7-49FB-8931-FDDA9B166DEE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379" name="CaixaDeTexto 3378">
          <a:extLst>
            <a:ext uri="{FF2B5EF4-FFF2-40B4-BE49-F238E27FC236}">
              <a16:creationId xmlns:a16="http://schemas.microsoft.com/office/drawing/2014/main" id="{9E53A626-7804-448E-BFBE-0AD7D27D9B42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53</xdr:col>
      <xdr:colOff>84794</xdr:colOff>
      <xdr:row>8</xdr:row>
      <xdr:rowOff>0</xdr:rowOff>
    </xdr:from>
    <xdr:ext cx="184731" cy="280205"/>
    <xdr:sp macro="" textlink="">
      <xdr:nvSpPr>
        <xdr:cNvPr id="3384" name="CaixaDeTexto 3383">
          <a:extLst>
            <a:ext uri="{FF2B5EF4-FFF2-40B4-BE49-F238E27FC236}">
              <a16:creationId xmlns:a16="http://schemas.microsoft.com/office/drawing/2014/main" id="{97A2513E-57FE-4840-8B2F-1FCB89F12ED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85" name="CaixaDeTexto 3384">
          <a:extLst>
            <a:ext uri="{FF2B5EF4-FFF2-40B4-BE49-F238E27FC236}">
              <a16:creationId xmlns:a16="http://schemas.microsoft.com/office/drawing/2014/main" id="{88B80693-E7B6-49E9-9980-043DA9FC7E3C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63</xdr:col>
      <xdr:colOff>141944</xdr:colOff>
      <xdr:row>8</xdr:row>
      <xdr:rowOff>0</xdr:rowOff>
    </xdr:from>
    <xdr:ext cx="184731" cy="280205"/>
    <xdr:sp macro="" textlink="">
      <xdr:nvSpPr>
        <xdr:cNvPr id="3387" name="CaixaDeTexto 3386">
          <a:extLst>
            <a:ext uri="{FF2B5EF4-FFF2-40B4-BE49-F238E27FC236}">
              <a16:creationId xmlns:a16="http://schemas.microsoft.com/office/drawing/2014/main" id="{CE9A152E-85B4-4B16-BF62-A7A268E763DB}"/>
            </a:ext>
          </a:extLst>
        </xdr:cNvPr>
        <xdr:cNvSpPr txBox="1"/>
      </xdr:nvSpPr>
      <xdr:spPr>
        <a:xfrm>
          <a:off x="14325600" y="90543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121</xdr:col>
      <xdr:colOff>5601</xdr:colOff>
      <xdr:row>14</xdr:row>
      <xdr:rowOff>195805</xdr:rowOff>
    </xdr:from>
    <xdr:to>
      <xdr:col>124</xdr:col>
      <xdr:colOff>297413</xdr:colOff>
      <xdr:row>15</xdr:row>
      <xdr:rowOff>214588</xdr:rowOff>
    </xdr:to>
    <xdr:sp macro="" textlink="">
      <xdr:nvSpPr>
        <xdr:cNvPr id="3396" name="Retângulo 3395">
          <a:extLst>
            <a:ext uri="{FF2B5EF4-FFF2-40B4-BE49-F238E27FC236}">
              <a16:creationId xmlns:a16="http://schemas.microsoft.com/office/drawing/2014/main" id="{C220B6AA-07AD-4244-9FBA-10CBA7008415}"/>
            </a:ext>
          </a:extLst>
        </xdr:cNvPr>
        <xdr:cNvSpPr/>
      </xdr:nvSpPr>
      <xdr:spPr>
        <a:xfrm>
          <a:off x="28854025" y="3154158"/>
          <a:ext cx="1260000" cy="2518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Dev</a:t>
          </a:r>
        </a:p>
      </xdr:txBody>
    </xdr:sp>
    <xdr:clientData/>
  </xdr:twoCellAnchor>
  <xdr:oneCellAnchor>
    <xdr:from>
      <xdr:col>128</xdr:col>
      <xdr:colOff>22752</xdr:colOff>
      <xdr:row>15</xdr:row>
      <xdr:rowOff>197649</xdr:rowOff>
    </xdr:from>
    <xdr:ext cx="612000" cy="264560"/>
    <xdr:sp macro="" textlink="">
      <xdr:nvSpPr>
        <xdr:cNvPr id="3397" name="CaixaDeTexto 3396">
          <a:extLst>
            <a:ext uri="{FF2B5EF4-FFF2-40B4-BE49-F238E27FC236}">
              <a16:creationId xmlns:a16="http://schemas.microsoft.com/office/drawing/2014/main" id="{1ED96B36-15B6-4CB9-A89B-F72AC52034FE}"/>
            </a:ext>
          </a:extLst>
        </xdr:cNvPr>
        <xdr:cNvSpPr txBox="1"/>
      </xdr:nvSpPr>
      <xdr:spPr>
        <a:xfrm>
          <a:off x="31130281" y="3389084"/>
          <a:ext cx="612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pt-BR" sz="1100"/>
            <a:t>Go-Live</a:t>
          </a:r>
        </a:p>
      </xdr:txBody>
    </xdr:sp>
    <xdr:clientData/>
  </xdr:oneCellAnchor>
  <xdr:twoCellAnchor>
    <xdr:from>
      <xdr:col>124</xdr:col>
      <xdr:colOff>16666</xdr:colOff>
      <xdr:row>15</xdr:row>
      <xdr:rowOff>223387</xdr:rowOff>
    </xdr:from>
    <xdr:to>
      <xdr:col>125</xdr:col>
      <xdr:colOff>305937</xdr:colOff>
      <xdr:row>15</xdr:row>
      <xdr:rowOff>471037</xdr:rowOff>
    </xdr:to>
    <xdr:sp macro="" textlink="">
      <xdr:nvSpPr>
        <xdr:cNvPr id="3398" name="Retângulo 3397">
          <a:extLst>
            <a:ext uri="{FF2B5EF4-FFF2-40B4-BE49-F238E27FC236}">
              <a16:creationId xmlns:a16="http://schemas.microsoft.com/office/drawing/2014/main" id="{F83AB4DC-9C40-48B0-B745-627998F119A1}"/>
            </a:ext>
          </a:extLst>
        </xdr:cNvPr>
        <xdr:cNvSpPr/>
      </xdr:nvSpPr>
      <xdr:spPr>
        <a:xfrm>
          <a:off x="29833278" y="3414822"/>
          <a:ext cx="612000" cy="247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124</xdr:col>
      <xdr:colOff>295910</xdr:colOff>
      <xdr:row>15</xdr:row>
      <xdr:rowOff>488691</xdr:rowOff>
    </xdr:from>
    <xdr:to>
      <xdr:col>127</xdr:col>
      <xdr:colOff>299722</xdr:colOff>
      <xdr:row>15</xdr:row>
      <xdr:rowOff>739978</xdr:rowOff>
    </xdr:to>
    <xdr:sp macro="" textlink="">
      <xdr:nvSpPr>
        <xdr:cNvPr id="3399" name="Retângulo 3398">
          <a:extLst>
            <a:ext uri="{FF2B5EF4-FFF2-40B4-BE49-F238E27FC236}">
              <a16:creationId xmlns:a16="http://schemas.microsoft.com/office/drawing/2014/main" id="{94F75C03-D62D-4BAD-B934-E5665F113ED5}"/>
            </a:ext>
          </a:extLst>
        </xdr:cNvPr>
        <xdr:cNvSpPr/>
      </xdr:nvSpPr>
      <xdr:spPr>
        <a:xfrm>
          <a:off x="30112522" y="3680126"/>
          <a:ext cx="972000" cy="25128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indent="0" algn="ctr"/>
          <a:r>
            <a:rPr lang="pt-BR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3</xdr:col>
      <xdr:colOff>209550</xdr:colOff>
      <xdr:row>15</xdr:row>
      <xdr:rowOff>390525</xdr:rowOff>
    </xdr:from>
    <xdr:to>
      <xdr:col>3</xdr:col>
      <xdr:colOff>533550</xdr:colOff>
      <xdr:row>15</xdr:row>
      <xdr:rowOff>713355</xdr:rowOff>
    </xdr:to>
    <xdr:sp macro="" textlink="">
      <xdr:nvSpPr>
        <xdr:cNvPr id="3400" name="Elipse 3399">
          <a:extLst>
            <a:ext uri="{FF2B5EF4-FFF2-40B4-BE49-F238E27FC236}">
              <a16:creationId xmlns:a16="http://schemas.microsoft.com/office/drawing/2014/main" id="{323EC6E6-0443-4129-A42C-576B2CA3039B}"/>
            </a:ext>
          </a:extLst>
        </xdr:cNvPr>
        <xdr:cNvSpPr/>
      </xdr:nvSpPr>
      <xdr:spPr>
        <a:xfrm>
          <a:off x="5606303" y="1762125"/>
          <a:ext cx="324000" cy="32283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128</xdr:col>
      <xdr:colOff>233225</xdr:colOff>
      <xdr:row>15</xdr:row>
      <xdr:rowOff>538280</xdr:rowOff>
    </xdr:from>
    <xdr:to>
      <xdr:col>129</xdr:col>
      <xdr:colOff>51748</xdr:colOff>
      <xdr:row>15</xdr:row>
      <xdr:rowOff>684956</xdr:rowOff>
    </xdr:to>
    <xdr:sp macro="" textlink="">
      <xdr:nvSpPr>
        <xdr:cNvPr id="3401" name="Estrela: 5 Pontas 3400">
          <a:extLst>
            <a:ext uri="{FF2B5EF4-FFF2-40B4-BE49-F238E27FC236}">
              <a16:creationId xmlns:a16="http://schemas.microsoft.com/office/drawing/2014/main" id="{8C542E36-61C7-4A25-B8D8-D533F019E4C0}"/>
            </a:ext>
          </a:extLst>
        </xdr:cNvPr>
        <xdr:cNvSpPr/>
      </xdr:nvSpPr>
      <xdr:spPr>
        <a:xfrm>
          <a:off x="31340754" y="3729715"/>
          <a:ext cx="141253" cy="146676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130</xdr:col>
      <xdr:colOff>294986</xdr:colOff>
      <xdr:row>57</xdr:row>
      <xdr:rowOff>0</xdr:rowOff>
    </xdr:from>
    <xdr:ext cx="184731" cy="280205"/>
    <xdr:sp macro="" textlink="">
      <xdr:nvSpPr>
        <xdr:cNvPr id="3404" name="CaixaDeTexto 3403">
          <a:extLst>
            <a:ext uri="{FF2B5EF4-FFF2-40B4-BE49-F238E27FC236}">
              <a16:creationId xmlns:a16="http://schemas.microsoft.com/office/drawing/2014/main" id="{86491EE7-691A-41D5-92B9-528D23B5BD4A}"/>
            </a:ext>
          </a:extLst>
        </xdr:cNvPr>
        <xdr:cNvSpPr txBox="1"/>
      </xdr:nvSpPr>
      <xdr:spPr>
        <a:xfrm>
          <a:off x="16556962" y="248143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57</xdr:row>
      <xdr:rowOff>0</xdr:rowOff>
    </xdr:from>
    <xdr:ext cx="184731" cy="280205"/>
    <xdr:sp macro="" textlink="">
      <xdr:nvSpPr>
        <xdr:cNvPr id="3405" name="CaixaDeTexto 3404">
          <a:extLst>
            <a:ext uri="{FF2B5EF4-FFF2-40B4-BE49-F238E27FC236}">
              <a16:creationId xmlns:a16="http://schemas.microsoft.com/office/drawing/2014/main" id="{299E8CD9-8919-42D6-9B41-7BAF5525459E}"/>
            </a:ext>
          </a:extLst>
        </xdr:cNvPr>
        <xdr:cNvSpPr txBox="1"/>
      </xdr:nvSpPr>
      <xdr:spPr>
        <a:xfrm>
          <a:off x="16538553" y="248143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294986</xdr:colOff>
      <xdr:row>57</xdr:row>
      <xdr:rowOff>0</xdr:rowOff>
    </xdr:from>
    <xdr:ext cx="184731" cy="280205"/>
    <xdr:sp macro="" textlink="">
      <xdr:nvSpPr>
        <xdr:cNvPr id="3407" name="CaixaDeTexto 3406">
          <a:extLst>
            <a:ext uri="{FF2B5EF4-FFF2-40B4-BE49-F238E27FC236}">
              <a16:creationId xmlns:a16="http://schemas.microsoft.com/office/drawing/2014/main" id="{6708D0D2-4AB6-4A7D-949E-8A2AEA230CC5}"/>
            </a:ext>
          </a:extLst>
        </xdr:cNvPr>
        <xdr:cNvSpPr txBox="1"/>
      </xdr:nvSpPr>
      <xdr:spPr>
        <a:xfrm>
          <a:off x="16556962" y="248143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57</xdr:row>
      <xdr:rowOff>0</xdr:rowOff>
    </xdr:from>
    <xdr:ext cx="184731" cy="280205"/>
    <xdr:sp macro="" textlink="">
      <xdr:nvSpPr>
        <xdr:cNvPr id="3408" name="CaixaDeTexto 3407">
          <a:extLst>
            <a:ext uri="{FF2B5EF4-FFF2-40B4-BE49-F238E27FC236}">
              <a16:creationId xmlns:a16="http://schemas.microsoft.com/office/drawing/2014/main" id="{C212EE39-F75C-451B-9DC3-D496AFEA171F}"/>
            </a:ext>
          </a:extLst>
        </xdr:cNvPr>
        <xdr:cNvSpPr txBox="1"/>
      </xdr:nvSpPr>
      <xdr:spPr>
        <a:xfrm>
          <a:off x="16538553" y="24814306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294986</xdr:colOff>
      <xdr:row>79</xdr:row>
      <xdr:rowOff>0</xdr:rowOff>
    </xdr:from>
    <xdr:ext cx="184731" cy="280205"/>
    <xdr:sp macro="" textlink="">
      <xdr:nvSpPr>
        <xdr:cNvPr id="3413" name="CaixaDeTexto 3412">
          <a:extLst>
            <a:ext uri="{FF2B5EF4-FFF2-40B4-BE49-F238E27FC236}">
              <a16:creationId xmlns:a16="http://schemas.microsoft.com/office/drawing/2014/main" id="{20641C5A-A642-4271-BAA5-246C9ED4FF53}"/>
            </a:ext>
          </a:extLst>
        </xdr:cNvPr>
        <xdr:cNvSpPr txBox="1"/>
      </xdr:nvSpPr>
      <xdr:spPr>
        <a:xfrm>
          <a:off x="16556962" y="29942118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79</xdr:row>
      <xdr:rowOff>0</xdr:rowOff>
    </xdr:from>
    <xdr:ext cx="184731" cy="280205"/>
    <xdr:sp macro="" textlink="">
      <xdr:nvSpPr>
        <xdr:cNvPr id="3416" name="CaixaDeTexto 3415">
          <a:extLst>
            <a:ext uri="{FF2B5EF4-FFF2-40B4-BE49-F238E27FC236}">
              <a16:creationId xmlns:a16="http://schemas.microsoft.com/office/drawing/2014/main" id="{8A8B0190-B0A0-4BC5-A378-5E7898D0E64F}"/>
            </a:ext>
          </a:extLst>
        </xdr:cNvPr>
        <xdr:cNvSpPr txBox="1"/>
      </xdr:nvSpPr>
      <xdr:spPr>
        <a:xfrm>
          <a:off x="16538553" y="29942118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294986</xdr:colOff>
      <xdr:row>79</xdr:row>
      <xdr:rowOff>0</xdr:rowOff>
    </xdr:from>
    <xdr:ext cx="184731" cy="280205"/>
    <xdr:sp macro="" textlink="">
      <xdr:nvSpPr>
        <xdr:cNvPr id="3417" name="CaixaDeTexto 3416">
          <a:extLst>
            <a:ext uri="{FF2B5EF4-FFF2-40B4-BE49-F238E27FC236}">
              <a16:creationId xmlns:a16="http://schemas.microsoft.com/office/drawing/2014/main" id="{F9B85A3D-B198-482F-B465-40F4ABB08BB5}"/>
            </a:ext>
          </a:extLst>
        </xdr:cNvPr>
        <xdr:cNvSpPr txBox="1"/>
      </xdr:nvSpPr>
      <xdr:spPr>
        <a:xfrm>
          <a:off x="16556962" y="29942118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79</xdr:row>
      <xdr:rowOff>0</xdr:rowOff>
    </xdr:from>
    <xdr:ext cx="184731" cy="280205"/>
    <xdr:sp macro="" textlink="">
      <xdr:nvSpPr>
        <xdr:cNvPr id="3419" name="CaixaDeTexto 3418">
          <a:extLst>
            <a:ext uri="{FF2B5EF4-FFF2-40B4-BE49-F238E27FC236}">
              <a16:creationId xmlns:a16="http://schemas.microsoft.com/office/drawing/2014/main" id="{6D9D8AD9-2EB8-43FF-A8AA-F4F9439F37F2}"/>
            </a:ext>
          </a:extLst>
        </xdr:cNvPr>
        <xdr:cNvSpPr txBox="1"/>
      </xdr:nvSpPr>
      <xdr:spPr>
        <a:xfrm>
          <a:off x="16538553" y="29942118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294986</xdr:colOff>
      <xdr:row>68</xdr:row>
      <xdr:rowOff>0</xdr:rowOff>
    </xdr:from>
    <xdr:ext cx="184731" cy="280205"/>
    <xdr:sp macro="" textlink="">
      <xdr:nvSpPr>
        <xdr:cNvPr id="3420" name="CaixaDeTexto 3419">
          <a:extLst>
            <a:ext uri="{FF2B5EF4-FFF2-40B4-BE49-F238E27FC236}">
              <a16:creationId xmlns:a16="http://schemas.microsoft.com/office/drawing/2014/main" id="{255D47A5-1FC7-4E30-87EE-1A3BA4B0C779}"/>
            </a:ext>
          </a:extLst>
        </xdr:cNvPr>
        <xdr:cNvSpPr txBox="1"/>
      </xdr:nvSpPr>
      <xdr:spPr>
        <a:xfrm>
          <a:off x="16556962" y="273782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68</xdr:row>
      <xdr:rowOff>0</xdr:rowOff>
    </xdr:from>
    <xdr:ext cx="184731" cy="280205"/>
    <xdr:sp macro="" textlink="">
      <xdr:nvSpPr>
        <xdr:cNvPr id="3421" name="CaixaDeTexto 3420">
          <a:extLst>
            <a:ext uri="{FF2B5EF4-FFF2-40B4-BE49-F238E27FC236}">
              <a16:creationId xmlns:a16="http://schemas.microsoft.com/office/drawing/2014/main" id="{56C7414A-84A1-4C8B-9886-ED6420C531EE}"/>
            </a:ext>
          </a:extLst>
        </xdr:cNvPr>
        <xdr:cNvSpPr txBox="1"/>
      </xdr:nvSpPr>
      <xdr:spPr>
        <a:xfrm>
          <a:off x="16538553" y="273782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294986</xdr:colOff>
      <xdr:row>68</xdr:row>
      <xdr:rowOff>0</xdr:rowOff>
    </xdr:from>
    <xdr:ext cx="184731" cy="280205"/>
    <xdr:sp macro="" textlink="">
      <xdr:nvSpPr>
        <xdr:cNvPr id="3422" name="CaixaDeTexto 3421">
          <a:extLst>
            <a:ext uri="{FF2B5EF4-FFF2-40B4-BE49-F238E27FC236}">
              <a16:creationId xmlns:a16="http://schemas.microsoft.com/office/drawing/2014/main" id="{949962C8-4374-465C-BB62-72BC2D6E5879}"/>
            </a:ext>
          </a:extLst>
        </xdr:cNvPr>
        <xdr:cNvSpPr txBox="1"/>
      </xdr:nvSpPr>
      <xdr:spPr>
        <a:xfrm>
          <a:off x="16556962" y="273782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oneCellAnchor>
    <xdr:from>
      <xdr:col>130</xdr:col>
      <xdr:colOff>276577</xdr:colOff>
      <xdr:row>68</xdr:row>
      <xdr:rowOff>0</xdr:rowOff>
    </xdr:from>
    <xdr:ext cx="184731" cy="280205"/>
    <xdr:sp macro="" textlink="">
      <xdr:nvSpPr>
        <xdr:cNvPr id="3423" name="CaixaDeTexto 3422">
          <a:extLst>
            <a:ext uri="{FF2B5EF4-FFF2-40B4-BE49-F238E27FC236}">
              <a16:creationId xmlns:a16="http://schemas.microsoft.com/office/drawing/2014/main" id="{3387D257-8445-41BB-B64F-A17D07881FC7}"/>
            </a:ext>
          </a:extLst>
        </xdr:cNvPr>
        <xdr:cNvSpPr txBox="1"/>
      </xdr:nvSpPr>
      <xdr:spPr>
        <a:xfrm>
          <a:off x="16538553" y="27378212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200" b="1"/>
        </a:p>
      </xdr:txBody>
    </xdr:sp>
    <xdr:clientData/>
  </xdr:oneCellAnchor>
  <xdr:twoCellAnchor>
    <xdr:from>
      <xdr:col>123</xdr:col>
      <xdr:colOff>211896</xdr:colOff>
      <xdr:row>73</xdr:row>
      <xdr:rowOff>153974</xdr:rowOff>
    </xdr:from>
    <xdr:to>
      <xdr:col>132</xdr:col>
      <xdr:colOff>10886</xdr:colOff>
      <xdr:row>74</xdr:row>
      <xdr:rowOff>206828</xdr:rowOff>
    </xdr:to>
    <xdr:sp macro="" textlink="">
      <xdr:nvSpPr>
        <xdr:cNvPr id="3424" name="Retângulo 3423">
          <a:extLst>
            <a:ext uri="{FF2B5EF4-FFF2-40B4-BE49-F238E27FC236}">
              <a16:creationId xmlns:a16="http://schemas.microsoft.com/office/drawing/2014/main" id="{49EABFF4-BBA6-A092-AAA1-DE784E78F2E4}"/>
            </a:ext>
          </a:extLst>
        </xdr:cNvPr>
        <xdr:cNvSpPr/>
      </xdr:nvSpPr>
      <xdr:spPr>
        <a:xfrm>
          <a:off x="29363839" y="22992203"/>
          <a:ext cx="2640161" cy="281454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On-hold</a:t>
          </a:r>
        </a:p>
      </xdr:txBody>
    </xdr:sp>
    <xdr:clientData/>
  </xdr:twoCellAnchor>
  <xdr:twoCellAnchor>
    <xdr:from>
      <xdr:col>119</xdr:col>
      <xdr:colOff>22094</xdr:colOff>
      <xdr:row>42</xdr:row>
      <xdr:rowOff>49670</xdr:rowOff>
    </xdr:from>
    <xdr:to>
      <xdr:col>124</xdr:col>
      <xdr:colOff>70468</xdr:colOff>
      <xdr:row>42</xdr:row>
      <xdr:rowOff>265670</xdr:rowOff>
    </xdr:to>
    <xdr:sp macro="" textlink="">
      <xdr:nvSpPr>
        <xdr:cNvPr id="3426" name="Retângulo 3425">
          <a:extLst>
            <a:ext uri="{FF2B5EF4-FFF2-40B4-BE49-F238E27FC236}">
              <a16:creationId xmlns:a16="http://schemas.microsoft.com/office/drawing/2014/main" id="{4B3B1634-FBAB-43F9-3C66-9E18A88C12F8}"/>
            </a:ext>
          </a:extLst>
        </xdr:cNvPr>
        <xdr:cNvSpPr/>
      </xdr:nvSpPr>
      <xdr:spPr>
        <a:xfrm>
          <a:off x="27911294" y="15224356"/>
          <a:ext cx="1626803" cy="21600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pt-BR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Pending user Definition </a:t>
          </a:r>
        </a:p>
      </xdr:txBody>
    </xdr:sp>
    <xdr:clientData/>
  </xdr:twoCellAnchor>
  <xdr:twoCellAnchor>
    <xdr:from>
      <xdr:col>125</xdr:col>
      <xdr:colOff>64024</xdr:colOff>
      <xdr:row>39</xdr:row>
      <xdr:rowOff>111301</xdr:rowOff>
    </xdr:from>
    <xdr:to>
      <xdr:col>125</xdr:col>
      <xdr:colOff>64024</xdr:colOff>
      <xdr:row>54</xdr:row>
      <xdr:rowOff>79763</xdr:rowOff>
    </xdr:to>
    <xdr:cxnSp macro="">
      <xdr:nvCxnSpPr>
        <xdr:cNvPr id="3136" name="Conector reto 3135">
          <a:extLst>
            <a:ext uri="{FF2B5EF4-FFF2-40B4-BE49-F238E27FC236}">
              <a16:creationId xmlns:a16="http://schemas.microsoft.com/office/drawing/2014/main" id="{B53A43A8-B7C0-F3AA-9460-B4868F478C82}"/>
            </a:ext>
          </a:extLst>
        </xdr:cNvPr>
        <xdr:cNvCxnSpPr/>
      </xdr:nvCxnSpPr>
      <xdr:spPr>
        <a:xfrm>
          <a:off x="30861524" y="14398801"/>
          <a:ext cx="0" cy="4248362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189257</xdr:colOff>
      <xdr:row>5</xdr:row>
      <xdr:rowOff>0</xdr:rowOff>
    </xdr:from>
    <xdr:to>
      <xdr:col>123</xdr:col>
      <xdr:colOff>190587</xdr:colOff>
      <xdr:row>22</xdr:row>
      <xdr:rowOff>0</xdr:rowOff>
    </xdr:to>
    <xdr:cxnSp macro="">
      <xdr:nvCxnSpPr>
        <xdr:cNvPr id="3123" name="Conector reto 3122">
          <a:extLst>
            <a:ext uri="{FF2B5EF4-FFF2-40B4-BE49-F238E27FC236}">
              <a16:creationId xmlns:a16="http://schemas.microsoft.com/office/drawing/2014/main" id="{FBC3278F-BA1A-FC98-F0ED-F50B17A74C8E}"/>
            </a:ext>
          </a:extLst>
        </xdr:cNvPr>
        <xdr:cNvCxnSpPr/>
      </xdr:nvCxnSpPr>
      <xdr:spPr>
        <a:xfrm flipH="1">
          <a:off x="29683139" y="905435"/>
          <a:ext cx="1330" cy="7123727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160111</xdr:colOff>
      <xdr:row>31</xdr:row>
      <xdr:rowOff>122012</xdr:rowOff>
    </xdr:from>
    <xdr:to>
      <xdr:col>3</xdr:col>
      <xdr:colOff>484111</xdr:colOff>
      <xdr:row>32</xdr:row>
      <xdr:rowOff>208794</xdr:rowOff>
    </xdr:to>
    <xdr:sp macro="" textlink="">
      <xdr:nvSpPr>
        <xdr:cNvPr id="3427" name="Elipse 3426">
          <a:extLst>
            <a:ext uri="{FF2B5EF4-FFF2-40B4-BE49-F238E27FC236}">
              <a16:creationId xmlns:a16="http://schemas.microsoft.com/office/drawing/2014/main" id="{4C6EF856-8FE8-230A-45F0-4F238DD1139E}"/>
            </a:ext>
          </a:extLst>
        </xdr:cNvPr>
        <xdr:cNvSpPr/>
      </xdr:nvSpPr>
      <xdr:spPr>
        <a:xfrm>
          <a:off x="5551261" y="10589987"/>
          <a:ext cx="324000" cy="305857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23</xdr:col>
      <xdr:colOff>285750</xdr:colOff>
      <xdr:row>28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1448B1-3E92-F90D-FDFD-B350E25E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696950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258536</xdr:rowOff>
    </xdr:from>
    <xdr:to>
      <xdr:col>6</xdr:col>
      <xdr:colOff>272142</xdr:colOff>
      <xdr:row>5</xdr:row>
      <xdr:rowOff>650749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4E28A5B6-9F91-40B6-AE59-760805D08C68}"/>
            </a:ext>
          </a:extLst>
        </xdr:cNvPr>
        <xdr:cNvSpPr/>
      </xdr:nvSpPr>
      <xdr:spPr>
        <a:xfrm>
          <a:off x="9089571" y="2000250"/>
          <a:ext cx="898071" cy="6643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Payment retail order commission 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>
    <xdr:from>
      <xdr:col>3</xdr:col>
      <xdr:colOff>4258234</xdr:colOff>
      <xdr:row>5</xdr:row>
      <xdr:rowOff>676963</xdr:rowOff>
    </xdr:from>
    <xdr:to>
      <xdr:col>13</xdr:col>
      <xdr:colOff>313764</xdr:colOff>
      <xdr:row>6</xdr:row>
      <xdr:rowOff>100513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5CC2FDB1-A8BF-4647-9B46-E173CE305412}"/>
            </a:ext>
          </a:extLst>
        </xdr:cNvPr>
        <xdr:cNvSpPr/>
      </xdr:nvSpPr>
      <xdr:spPr>
        <a:xfrm>
          <a:off x="9054352" y="2694022"/>
          <a:ext cx="3137647" cy="2864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Quota x Allocation Pilot</a:t>
          </a:r>
          <a:endParaRPr lang="pt-BR">
            <a:effectLst/>
          </a:endParaRPr>
        </a:p>
      </xdr:txBody>
    </xdr:sp>
    <xdr:clientData/>
  </xdr:twoCellAnchor>
  <xdr:twoCellAnchor>
    <xdr:from>
      <xdr:col>8</xdr:col>
      <xdr:colOff>8009</xdr:colOff>
      <xdr:row>6</xdr:row>
      <xdr:rowOff>133478</xdr:rowOff>
    </xdr:from>
    <xdr:to>
      <xdr:col>15</xdr:col>
      <xdr:colOff>289072</xdr:colOff>
      <xdr:row>6</xdr:row>
      <xdr:rowOff>405621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6157C4BD-A563-4CBB-9E44-1D9BD2ADD688}"/>
            </a:ext>
          </a:extLst>
        </xdr:cNvPr>
        <xdr:cNvSpPr/>
      </xdr:nvSpPr>
      <xdr:spPr>
        <a:xfrm>
          <a:off x="13943084" y="10106153"/>
          <a:ext cx="2481338" cy="2721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National Allocation</a:t>
          </a:r>
        </a:p>
      </xdr:txBody>
    </xdr:sp>
    <xdr:clientData/>
  </xdr:twoCellAnchor>
  <xdr:twoCellAnchor>
    <xdr:from>
      <xdr:col>9</xdr:col>
      <xdr:colOff>31821</xdr:colOff>
      <xdr:row>6</xdr:row>
      <xdr:rowOff>424831</xdr:rowOff>
    </xdr:from>
    <xdr:to>
      <xdr:col>17</xdr:col>
      <xdr:colOff>3321</xdr:colOff>
      <xdr:row>6</xdr:row>
      <xdr:rowOff>696974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C90F632F-1986-4D06-92F4-C77846C601EB}"/>
            </a:ext>
          </a:extLst>
        </xdr:cNvPr>
        <xdr:cNvSpPr/>
      </xdr:nvSpPr>
      <xdr:spPr>
        <a:xfrm>
          <a:off x="10654997" y="3304743"/>
          <a:ext cx="2481618" cy="272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60 days age stock allocation </a:t>
          </a:r>
        </a:p>
      </xdr:txBody>
    </xdr:sp>
    <xdr:clientData/>
  </xdr:twoCellAnchor>
  <xdr:twoCellAnchor>
    <xdr:from>
      <xdr:col>14</xdr:col>
      <xdr:colOff>18522</xdr:colOff>
      <xdr:row>6</xdr:row>
      <xdr:rowOff>1459976</xdr:rowOff>
    </xdr:from>
    <xdr:to>
      <xdr:col>20</xdr:col>
      <xdr:colOff>285147</xdr:colOff>
      <xdr:row>6</xdr:row>
      <xdr:rowOff>1732119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3DF9D195-9771-46A6-B029-ECD9DB0EED39}"/>
            </a:ext>
          </a:extLst>
        </xdr:cNvPr>
        <xdr:cNvSpPr/>
      </xdr:nvSpPr>
      <xdr:spPr>
        <a:xfrm>
          <a:off x="15839547" y="11432651"/>
          <a:ext cx="2152575" cy="2721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Purchase Order to Fatory</a:t>
          </a:r>
        </a:p>
      </xdr:txBody>
    </xdr:sp>
    <xdr:clientData/>
  </xdr:twoCellAnchor>
  <xdr:twoCellAnchor>
    <xdr:from>
      <xdr:col>19</xdr:col>
      <xdr:colOff>22422</xdr:colOff>
      <xdr:row>6</xdr:row>
      <xdr:rowOff>1763234</xdr:rowOff>
    </xdr:from>
    <xdr:to>
      <xdr:col>24</xdr:col>
      <xdr:colOff>274609</xdr:colOff>
      <xdr:row>6</xdr:row>
      <xdr:rowOff>2095500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D5C5A4D7-D754-4BF9-9986-19C87D8EA741}"/>
            </a:ext>
          </a:extLst>
        </xdr:cNvPr>
        <xdr:cNvSpPr/>
      </xdr:nvSpPr>
      <xdr:spPr>
        <a:xfrm>
          <a:off x="13783246" y="4643146"/>
          <a:ext cx="1821010" cy="332266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RDC Car Mgm - Int GDMC x HQ Sys</a:t>
          </a:r>
        </a:p>
      </xdr:txBody>
    </xdr:sp>
    <xdr:clientData/>
  </xdr:twoCellAnchor>
  <xdr:twoCellAnchor>
    <xdr:from>
      <xdr:col>16</xdr:col>
      <xdr:colOff>210822</xdr:colOff>
      <xdr:row>4</xdr:row>
      <xdr:rowOff>174274</xdr:rowOff>
    </xdr:from>
    <xdr:to>
      <xdr:col>17</xdr:col>
      <xdr:colOff>89325</xdr:colOff>
      <xdr:row>5</xdr:row>
      <xdr:rowOff>92233</xdr:rowOff>
    </xdr:to>
    <xdr:sp macro="" textlink="">
      <xdr:nvSpPr>
        <xdr:cNvPr id="76" name="Isosceles Triangle 27">
          <a:extLst>
            <a:ext uri="{FF2B5EF4-FFF2-40B4-BE49-F238E27FC236}">
              <a16:creationId xmlns:a16="http://schemas.microsoft.com/office/drawing/2014/main" id="{BB01CC2F-7BE2-4D5D-BEFE-37FB69FC023E}"/>
            </a:ext>
          </a:extLst>
        </xdr:cNvPr>
        <xdr:cNvSpPr/>
      </xdr:nvSpPr>
      <xdr:spPr>
        <a:xfrm rot="10800000">
          <a:off x="16660497" y="9013474"/>
          <a:ext cx="192828" cy="194184"/>
        </a:xfrm>
        <a:prstGeom prst="triangle">
          <a:avLst>
            <a:gd name="adj" fmla="val 50000"/>
          </a:avLst>
        </a:prstGeom>
        <a:solidFill>
          <a:srgbClr val="00B050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293465</xdr:colOff>
      <xdr:row>2</xdr:row>
      <xdr:rowOff>168086</xdr:rowOff>
    </xdr:from>
    <xdr:to>
      <xdr:col>20</xdr:col>
      <xdr:colOff>83348</xdr:colOff>
      <xdr:row>4</xdr:row>
      <xdr:rowOff>151851</xdr:rowOff>
    </xdr:to>
    <xdr:sp macro="" textlink="">
      <xdr:nvSpPr>
        <xdr:cNvPr id="77" name="TextBox 29">
          <a:extLst>
            <a:ext uri="{FF2B5EF4-FFF2-40B4-BE49-F238E27FC236}">
              <a16:creationId xmlns:a16="http://schemas.microsoft.com/office/drawing/2014/main" id="{D0332BDE-6489-4282-B947-45CE1BE3CDBE}"/>
            </a:ext>
          </a:extLst>
        </xdr:cNvPr>
        <xdr:cNvSpPr txBox="1"/>
      </xdr:nvSpPr>
      <xdr:spPr>
        <a:xfrm>
          <a:off x="15800165" y="8550086"/>
          <a:ext cx="1990158" cy="44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/>
            <a:t>Stock Demands</a:t>
          </a:r>
        </a:p>
        <a:p>
          <a:pPr algn="ctr"/>
          <a:r>
            <a:rPr lang="en-US" sz="1100" b="1"/>
            <a:t>(1,5 month Reduction)</a:t>
          </a:r>
        </a:p>
      </xdr:txBody>
    </xdr:sp>
    <xdr:clientData/>
  </xdr:twoCellAnchor>
  <xdr:twoCellAnchor>
    <xdr:from>
      <xdr:col>22</xdr:col>
      <xdr:colOff>179290</xdr:colOff>
      <xdr:row>2</xdr:row>
      <xdr:rowOff>168086</xdr:rowOff>
    </xdr:from>
    <xdr:to>
      <xdr:col>27</xdr:col>
      <xdr:colOff>156882</xdr:colOff>
      <xdr:row>4</xdr:row>
      <xdr:rowOff>151851</xdr:rowOff>
    </xdr:to>
    <xdr:sp macro="" textlink="">
      <xdr:nvSpPr>
        <xdr:cNvPr id="78" name="TextBox 29">
          <a:extLst>
            <a:ext uri="{FF2B5EF4-FFF2-40B4-BE49-F238E27FC236}">
              <a16:creationId xmlns:a16="http://schemas.microsoft.com/office/drawing/2014/main" id="{D315FD73-307B-4EF5-9B5C-A81BAF463EC4}"/>
            </a:ext>
          </a:extLst>
        </xdr:cNvPr>
        <xdr:cNvSpPr txBox="1"/>
      </xdr:nvSpPr>
      <xdr:spPr>
        <a:xfrm>
          <a:off x="18514915" y="8550086"/>
          <a:ext cx="1549217" cy="44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/>
            <a:t>Prioritized Demands</a:t>
          </a:r>
        </a:p>
        <a:p>
          <a:pPr algn="ctr"/>
          <a:r>
            <a:rPr lang="en-US" sz="1100" b="1"/>
            <a:t>(2,5 Months reduction)</a:t>
          </a:r>
        </a:p>
      </xdr:txBody>
    </xdr:sp>
    <xdr:clientData/>
  </xdr:twoCellAnchor>
  <xdr:twoCellAnchor>
    <xdr:from>
      <xdr:col>23</xdr:col>
      <xdr:colOff>19209</xdr:colOff>
      <xdr:row>6</xdr:row>
      <xdr:rowOff>2075301</xdr:rowOff>
    </xdr:from>
    <xdr:to>
      <xdr:col>41</xdr:col>
      <xdr:colOff>291354</xdr:colOff>
      <xdr:row>6</xdr:row>
      <xdr:rowOff>2347444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BA78091E-6367-4779-AE58-34D5BA8B5CC1}"/>
            </a:ext>
          </a:extLst>
        </xdr:cNvPr>
        <xdr:cNvSpPr/>
      </xdr:nvSpPr>
      <xdr:spPr>
        <a:xfrm>
          <a:off x="18669159" y="12047976"/>
          <a:ext cx="5929995" cy="272143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Tax reform &amp; SAP segregation</a:t>
          </a:r>
          <a:endParaRPr lang="pt-BR">
            <a:effectLst/>
          </a:endParaRPr>
        </a:p>
      </xdr:txBody>
    </xdr:sp>
    <xdr:clientData/>
  </xdr:twoCellAnchor>
  <xdr:twoCellAnchor>
    <xdr:from>
      <xdr:col>24</xdr:col>
      <xdr:colOff>214456</xdr:colOff>
      <xdr:row>4</xdr:row>
      <xdr:rowOff>174274</xdr:rowOff>
    </xdr:from>
    <xdr:to>
      <xdr:col>25</xdr:col>
      <xdr:colOff>92959</xdr:colOff>
      <xdr:row>5</xdr:row>
      <xdr:rowOff>92233</xdr:rowOff>
    </xdr:to>
    <xdr:sp macro="" textlink="">
      <xdr:nvSpPr>
        <xdr:cNvPr id="87" name="Isosceles Triangle 27">
          <a:extLst>
            <a:ext uri="{FF2B5EF4-FFF2-40B4-BE49-F238E27FC236}">
              <a16:creationId xmlns:a16="http://schemas.microsoft.com/office/drawing/2014/main" id="{63241BE9-BC1B-4BB0-872D-8A700ABB1931}"/>
            </a:ext>
          </a:extLst>
        </xdr:cNvPr>
        <xdr:cNvSpPr/>
      </xdr:nvSpPr>
      <xdr:spPr>
        <a:xfrm rot="10800000">
          <a:off x="19178731" y="9013474"/>
          <a:ext cx="192828" cy="194184"/>
        </a:xfrm>
        <a:prstGeom prst="triangle">
          <a:avLst>
            <a:gd name="adj" fmla="val 50000"/>
          </a:avLst>
        </a:prstGeom>
        <a:solidFill>
          <a:srgbClr val="00B050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18509</xdr:colOff>
      <xdr:row>6</xdr:row>
      <xdr:rowOff>729489</xdr:rowOff>
    </xdr:from>
    <xdr:to>
      <xdr:col>9</xdr:col>
      <xdr:colOff>285750</xdr:colOff>
      <xdr:row>6</xdr:row>
      <xdr:rowOff>1071489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19A3D102-1521-44FA-B7AA-89B65E5F15B3}"/>
            </a:ext>
          </a:extLst>
        </xdr:cNvPr>
        <xdr:cNvSpPr/>
      </xdr:nvSpPr>
      <xdr:spPr>
        <a:xfrm>
          <a:off x="9761223" y="3600596"/>
          <a:ext cx="1519098" cy="3420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2o Transportation comany - I</a:t>
          </a:r>
        </a:p>
      </xdr:txBody>
    </xdr:sp>
    <xdr:clientData/>
  </xdr:twoCellAnchor>
  <xdr:twoCellAnchor>
    <xdr:from>
      <xdr:col>10</xdr:col>
      <xdr:colOff>5330</xdr:colOff>
      <xdr:row>6</xdr:row>
      <xdr:rowOff>829117</xdr:rowOff>
    </xdr:from>
    <xdr:to>
      <xdr:col>10</xdr:col>
      <xdr:colOff>193396</xdr:colOff>
      <xdr:row>6</xdr:row>
      <xdr:rowOff>1020920</xdr:rowOff>
    </xdr:to>
    <xdr:sp macro="" textlink="">
      <xdr:nvSpPr>
        <xdr:cNvPr id="90" name="Isosceles Triangle 27">
          <a:extLst>
            <a:ext uri="{FF2B5EF4-FFF2-40B4-BE49-F238E27FC236}">
              <a16:creationId xmlns:a16="http://schemas.microsoft.com/office/drawing/2014/main" id="{EBF14E44-C323-4C19-ABBC-A43EA9C35067}"/>
            </a:ext>
          </a:extLst>
        </xdr:cNvPr>
        <xdr:cNvSpPr/>
      </xdr:nvSpPr>
      <xdr:spPr>
        <a:xfrm rot="10800000">
          <a:off x="14569055" y="10801792"/>
          <a:ext cx="188066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8411</xdr:colOff>
      <xdr:row>4</xdr:row>
      <xdr:rowOff>174274</xdr:rowOff>
    </xdr:from>
    <xdr:to>
      <xdr:col>10</xdr:col>
      <xdr:colOff>196476</xdr:colOff>
      <xdr:row>5</xdr:row>
      <xdr:rowOff>92233</xdr:rowOff>
    </xdr:to>
    <xdr:sp macro="" textlink="">
      <xdr:nvSpPr>
        <xdr:cNvPr id="91" name="Isosceles Triangle 27">
          <a:extLst>
            <a:ext uri="{FF2B5EF4-FFF2-40B4-BE49-F238E27FC236}">
              <a16:creationId xmlns:a16="http://schemas.microsoft.com/office/drawing/2014/main" id="{03C089A2-D882-4C5C-AF52-6A20C5CA2862}"/>
            </a:ext>
          </a:extLst>
        </xdr:cNvPr>
        <xdr:cNvSpPr/>
      </xdr:nvSpPr>
      <xdr:spPr>
        <a:xfrm rot="10800000">
          <a:off x="14572136" y="9013474"/>
          <a:ext cx="188065" cy="194184"/>
        </a:xfrm>
        <a:prstGeom prst="triangle">
          <a:avLst>
            <a:gd name="adj" fmla="val 50000"/>
          </a:avLst>
        </a:prstGeom>
        <a:solidFill>
          <a:srgbClr val="00B050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91054</xdr:colOff>
      <xdr:row>2</xdr:row>
      <xdr:rowOff>132363</xdr:rowOff>
    </xdr:from>
    <xdr:to>
      <xdr:col>13</xdr:col>
      <xdr:colOff>190500</xdr:colOff>
      <xdr:row>4</xdr:row>
      <xdr:rowOff>116128</xdr:rowOff>
    </xdr:to>
    <xdr:sp macro="" textlink="">
      <xdr:nvSpPr>
        <xdr:cNvPr id="92" name="TextBox 29">
          <a:extLst>
            <a:ext uri="{FF2B5EF4-FFF2-40B4-BE49-F238E27FC236}">
              <a16:creationId xmlns:a16="http://schemas.microsoft.com/office/drawing/2014/main" id="{0ADC6582-940A-4793-9A6E-FF9A0FFD62A5}"/>
            </a:ext>
          </a:extLst>
        </xdr:cNvPr>
        <xdr:cNvSpPr txBox="1"/>
      </xdr:nvSpPr>
      <xdr:spPr>
        <a:xfrm>
          <a:off x="13711804" y="8514363"/>
          <a:ext cx="1985396" cy="44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/>
            <a:t>2o Transp Start</a:t>
          </a:r>
        </a:p>
        <a:p>
          <a:pPr algn="ctr"/>
          <a:r>
            <a:rPr lang="en-US" sz="1100" b="1"/>
            <a:t>(4 months)</a:t>
          </a:r>
        </a:p>
      </xdr:txBody>
    </xdr:sp>
    <xdr:clientData/>
  </xdr:twoCellAnchor>
  <xdr:twoCellAnchor>
    <xdr:from>
      <xdr:col>13</xdr:col>
      <xdr:colOff>3086</xdr:colOff>
      <xdr:row>6</xdr:row>
      <xdr:rowOff>89647</xdr:rowOff>
    </xdr:from>
    <xdr:to>
      <xdr:col>13</xdr:col>
      <xdr:colOff>3086</xdr:colOff>
      <xdr:row>6</xdr:row>
      <xdr:rowOff>2947146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17C7FD61-7C82-4C00-A2EC-75E8E71EB3E2}"/>
            </a:ext>
          </a:extLst>
        </xdr:cNvPr>
        <xdr:cNvCxnSpPr/>
      </xdr:nvCxnSpPr>
      <xdr:spPr>
        <a:xfrm>
          <a:off x="11881321" y="2969559"/>
          <a:ext cx="0" cy="2857499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3087</xdr:colOff>
      <xdr:row>1</xdr:row>
      <xdr:rowOff>242526</xdr:rowOff>
    </xdr:from>
    <xdr:to>
      <xdr:col>13</xdr:col>
      <xdr:colOff>3087</xdr:colOff>
      <xdr:row>5</xdr:row>
      <xdr:rowOff>672353</xdr:rowOff>
    </xdr:to>
    <xdr:cxnSp macro="">
      <xdr:nvCxnSpPr>
        <xdr:cNvPr id="101" name="Conector reto 100">
          <a:extLst>
            <a:ext uri="{FF2B5EF4-FFF2-40B4-BE49-F238E27FC236}">
              <a16:creationId xmlns:a16="http://schemas.microsoft.com/office/drawing/2014/main" id="{7D3CD336-6E8A-6794-B108-9485A44E21F1}"/>
            </a:ext>
          </a:extLst>
        </xdr:cNvPr>
        <xdr:cNvCxnSpPr/>
      </xdr:nvCxnSpPr>
      <xdr:spPr>
        <a:xfrm>
          <a:off x="11881322" y="1284673"/>
          <a:ext cx="0" cy="1404739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0</xdr:row>
      <xdr:rowOff>299357</xdr:rowOff>
    </xdr:from>
    <xdr:ext cx="6987426" cy="468013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AA7228D6-FC94-41BB-3A76-D9546508CED1}"/>
            </a:ext>
          </a:extLst>
        </xdr:cNvPr>
        <xdr:cNvSpPr txBox="1"/>
      </xdr:nvSpPr>
      <xdr:spPr>
        <a:xfrm>
          <a:off x="9606643" y="299357"/>
          <a:ext cx="698742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/>
            <a:t>Summary Status - Priotized commercial IT demands</a:t>
          </a:r>
        </a:p>
      </xdr:txBody>
    </xdr:sp>
    <xdr:clientData/>
  </xdr:oneCellAnchor>
  <xdr:twoCellAnchor>
    <xdr:from>
      <xdr:col>16</xdr:col>
      <xdr:colOff>11206</xdr:colOff>
      <xdr:row>6</xdr:row>
      <xdr:rowOff>729485</xdr:rowOff>
    </xdr:from>
    <xdr:to>
      <xdr:col>22</xdr:col>
      <xdr:colOff>291354</xdr:colOff>
      <xdr:row>6</xdr:row>
      <xdr:rowOff>1071562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16EF091-8171-055C-B3BF-80FD11C315A9}"/>
            </a:ext>
          </a:extLst>
        </xdr:cNvPr>
        <xdr:cNvSpPr/>
      </xdr:nvSpPr>
      <xdr:spPr>
        <a:xfrm>
          <a:off x="13391030" y="3609397"/>
          <a:ext cx="2162736" cy="3420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2o Transportation comany - II &amp; III</a:t>
          </a:r>
        </a:p>
      </xdr:txBody>
    </xdr:sp>
    <xdr:clientData/>
  </xdr:twoCellAnchor>
  <xdr:twoCellAnchor>
    <xdr:from>
      <xdr:col>13</xdr:col>
      <xdr:colOff>11206</xdr:colOff>
      <xdr:row>5</xdr:row>
      <xdr:rowOff>672353</xdr:rowOff>
    </xdr:from>
    <xdr:to>
      <xdr:col>13</xdr:col>
      <xdr:colOff>313764</xdr:colOff>
      <xdr:row>5</xdr:row>
      <xdr:rowOff>820165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74A3240-636A-E5BB-D492-3D9C3C95ED86}"/>
            </a:ext>
          </a:extLst>
        </xdr:cNvPr>
        <xdr:cNvCxnSpPr>
          <a:endCxn id="71" idx="3"/>
        </xdr:cNvCxnSpPr>
      </xdr:nvCxnSpPr>
      <xdr:spPr>
        <a:xfrm>
          <a:off x="11889441" y="2689412"/>
          <a:ext cx="302558" cy="147812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11206</xdr:colOff>
      <xdr:row>5</xdr:row>
      <xdr:rowOff>820165</xdr:rowOff>
    </xdr:from>
    <xdr:to>
      <xdr:col>13</xdr:col>
      <xdr:colOff>313764</xdr:colOff>
      <xdr:row>6</xdr:row>
      <xdr:rowOff>89647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ACE1E06-027B-4153-B909-F8BDC4CE940E}"/>
            </a:ext>
          </a:extLst>
        </xdr:cNvPr>
        <xdr:cNvCxnSpPr>
          <a:endCxn id="71" idx="3"/>
        </xdr:cNvCxnSpPr>
      </xdr:nvCxnSpPr>
      <xdr:spPr>
        <a:xfrm flipV="1">
          <a:off x="11889441" y="2837224"/>
          <a:ext cx="302558" cy="13233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110889</xdr:colOff>
      <xdr:row>83</xdr:row>
      <xdr:rowOff>133244</xdr:rowOff>
    </xdr:from>
    <xdr:to>
      <xdr:col>19</xdr:col>
      <xdr:colOff>179294</xdr:colOff>
      <xdr:row>86</xdr:row>
      <xdr:rowOff>0</xdr:rowOff>
    </xdr:to>
    <xdr:sp macro="" textlink="">
      <xdr:nvSpPr>
        <xdr:cNvPr id="72" name="Fluxograma: Processo Alternativo 71">
          <a:extLst>
            <a:ext uri="{FF2B5EF4-FFF2-40B4-BE49-F238E27FC236}">
              <a16:creationId xmlns:a16="http://schemas.microsoft.com/office/drawing/2014/main" id="{DE727799-3AD8-4CFB-A55A-5EE9DB82FE61}"/>
            </a:ext>
          </a:extLst>
        </xdr:cNvPr>
        <xdr:cNvSpPr/>
      </xdr:nvSpPr>
      <xdr:spPr>
        <a:xfrm>
          <a:off x="9422977" y="28170362"/>
          <a:ext cx="3833582" cy="595138"/>
        </a:xfrm>
        <a:prstGeom prst="flowChartAlternateProcess">
          <a:avLst/>
        </a:prstGeom>
        <a:solidFill>
          <a:srgbClr val="C0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- Finalização pagamento de Fevereiro</a:t>
          </a:r>
        </a:p>
        <a:p>
          <a:pPr algn="l"/>
          <a:r>
            <a:rPr lang="pt-BR" sz="1100"/>
            <a:t>- Iniciado o processo de pagamento de Março, Abril e Maio.</a:t>
          </a:r>
        </a:p>
      </xdr:txBody>
    </xdr:sp>
    <xdr:clientData/>
  </xdr:twoCellAnchor>
  <xdr:twoCellAnchor>
    <xdr:from>
      <xdr:col>5</xdr:col>
      <xdr:colOff>10084</xdr:colOff>
      <xdr:row>2</xdr:row>
      <xdr:rowOff>245539</xdr:rowOff>
    </xdr:from>
    <xdr:to>
      <xdr:col>15</xdr:col>
      <xdr:colOff>9525</xdr:colOff>
      <xdr:row>2</xdr:row>
      <xdr:rowOff>519139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CC82E2E-2678-4412-8710-E23E41127268}"/>
            </a:ext>
          </a:extLst>
        </xdr:cNvPr>
        <xdr:cNvSpPr/>
      </xdr:nvSpPr>
      <xdr:spPr>
        <a:xfrm>
          <a:off x="10192309" y="1531414"/>
          <a:ext cx="3142691" cy="2736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Quota x Allocation Pilot</a:t>
          </a:r>
          <a:endParaRPr lang="pt-BR">
            <a:effectLst/>
          </a:endParaRPr>
        </a:p>
      </xdr:txBody>
    </xdr:sp>
    <xdr:clientData/>
  </xdr:twoCellAnchor>
  <xdr:twoCellAnchor>
    <xdr:from>
      <xdr:col>9</xdr:col>
      <xdr:colOff>8008</xdr:colOff>
      <xdr:row>3</xdr:row>
      <xdr:rowOff>369364</xdr:rowOff>
    </xdr:from>
    <xdr:to>
      <xdr:col>17</xdr:col>
      <xdr:colOff>312293</xdr:colOff>
      <xdr:row>3</xdr:row>
      <xdr:rowOff>637585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BC9DFB2-E5EA-47E0-98BD-FDE67D960BB0}"/>
            </a:ext>
          </a:extLst>
        </xdr:cNvPr>
        <xdr:cNvSpPr/>
      </xdr:nvSpPr>
      <xdr:spPr>
        <a:xfrm>
          <a:off x="11447533" y="2417239"/>
          <a:ext cx="2818885" cy="26822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National Allocation</a:t>
          </a:r>
        </a:p>
      </xdr:txBody>
    </xdr:sp>
    <xdr:clientData/>
  </xdr:twoCellAnchor>
  <xdr:twoCellAnchor>
    <xdr:from>
      <xdr:col>10</xdr:col>
      <xdr:colOff>31821</xdr:colOff>
      <xdr:row>3</xdr:row>
      <xdr:rowOff>656795</xdr:rowOff>
    </xdr:from>
    <xdr:to>
      <xdr:col>18</xdr:col>
      <xdr:colOff>3321</xdr:colOff>
      <xdr:row>4</xdr:row>
      <xdr:rowOff>166938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C02A676-DA74-4B72-9606-8792AFBEB662}"/>
            </a:ext>
          </a:extLst>
        </xdr:cNvPr>
        <xdr:cNvSpPr/>
      </xdr:nvSpPr>
      <xdr:spPr>
        <a:xfrm>
          <a:off x="11785671" y="2704670"/>
          <a:ext cx="2486100" cy="272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60 days age stock allocation </a:t>
          </a:r>
        </a:p>
      </xdr:txBody>
    </xdr:sp>
    <xdr:clientData/>
  </xdr:twoCellAnchor>
  <xdr:twoCellAnchor>
    <xdr:from>
      <xdr:col>15</xdr:col>
      <xdr:colOff>41382</xdr:colOff>
      <xdr:row>6</xdr:row>
      <xdr:rowOff>230401</xdr:rowOff>
    </xdr:from>
    <xdr:to>
      <xdr:col>21</xdr:col>
      <xdr:colOff>308007</xdr:colOff>
      <xdr:row>6</xdr:row>
      <xdr:rowOff>519689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6DC14DA-2981-4912-8E90-4C613418D7AD}"/>
            </a:ext>
          </a:extLst>
        </xdr:cNvPr>
        <xdr:cNvSpPr/>
      </xdr:nvSpPr>
      <xdr:spPr>
        <a:xfrm>
          <a:off x="13353970" y="4567077"/>
          <a:ext cx="2149213" cy="2892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Purchase Order to Fatory</a:t>
          </a:r>
        </a:p>
      </xdr:txBody>
    </xdr:sp>
    <xdr:clientData/>
  </xdr:twoCellAnchor>
  <xdr:twoCellAnchor>
    <xdr:from>
      <xdr:col>24</xdr:col>
      <xdr:colOff>10756</xdr:colOff>
      <xdr:row>14</xdr:row>
      <xdr:rowOff>1033727</xdr:rowOff>
    </xdr:from>
    <xdr:to>
      <xdr:col>42</xdr:col>
      <xdr:colOff>311862</xdr:colOff>
      <xdr:row>14</xdr:row>
      <xdr:rowOff>1296691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2CACFFB-1447-4EFB-8FB2-741BC40593ED}"/>
            </a:ext>
          </a:extLst>
        </xdr:cNvPr>
        <xdr:cNvSpPr/>
      </xdr:nvSpPr>
      <xdr:spPr>
        <a:xfrm>
          <a:off x="16148827" y="13361798"/>
          <a:ext cx="5934464" cy="26296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Tax reform &amp; SAP segregation</a:t>
          </a:r>
          <a:endParaRPr lang="pt-BR">
            <a:effectLst/>
          </a:endParaRPr>
        </a:p>
      </xdr:txBody>
    </xdr:sp>
    <xdr:clientData/>
  </xdr:twoCellAnchor>
  <xdr:twoCellAnchor>
    <xdr:from>
      <xdr:col>6</xdr:col>
      <xdr:colOff>18509</xdr:colOff>
      <xdr:row>5</xdr:row>
      <xdr:rowOff>285172</xdr:rowOff>
    </xdr:from>
    <xdr:to>
      <xdr:col>10</xdr:col>
      <xdr:colOff>285750</xdr:colOff>
      <xdr:row>5</xdr:row>
      <xdr:rowOff>558772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665FEED9-4F7A-4015-8935-03B169DCD439}"/>
            </a:ext>
          </a:extLst>
        </xdr:cNvPr>
        <xdr:cNvSpPr/>
      </xdr:nvSpPr>
      <xdr:spPr>
        <a:xfrm>
          <a:off x="10515059" y="3857047"/>
          <a:ext cx="1524541" cy="2736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2o Transportation comany - I</a:t>
          </a:r>
        </a:p>
      </xdr:txBody>
    </xdr:sp>
    <xdr:clientData/>
  </xdr:twoCellAnchor>
  <xdr:oneCellAnchor>
    <xdr:from>
      <xdr:col>5</xdr:col>
      <xdr:colOff>0</xdr:colOff>
      <xdr:row>0</xdr:row>
      <xdr:rowOff>284117</xdr:rowOff>
    </xdr:from>
    <xdr:ext cx="8754641" cy="468013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FA8C4DE9-16EA-4E2C-9EF5-59E2DDB0B71F}"/>
            </a:ext>
          </a:extLst>
        </xdr:cNvPr>
        <xdr:cNvSpPr txBox="1"/>
      </xdr:nvSpPr>
      <xdr:spPr>
        <a:xfrm>
          <a:off x="9323294" y="284117"/>
          <a:ext cx="875464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/>
            <a:t>Summary Commercial Demands</a:t>
          </a:r>
          <a:r>
            <a:rPr lang="pt-BR" sz="2400" b="1" baseline="0"/>
            <a:t> </a:t>
          </a:r>
          <a:r>
            <a:rPr lang="pt-BR" sz="2400" b="1"/>
            <a:t>- Priotized commercial IT demands</a:t>
          </a:r>
        </a:p>
      </xdr:txBody>
    </xdr:sp>
    <xdr:clientData/>
  </xdr:oneCellAnchor>
  <xdr:twoCellAnchor>
    <xdr:from>
      <xdr:col>17</xdr:col>
      <xdr:colOff>13111</xdr:colOff>
      <xdr:row>5</xdr:row>
      <xdr:rowOff>287073</xdr:rowOff>
    </xdr:from>
    <xdr:to>
      <xdr:col>23</xdr:col>
      <xdr:colOff>287544</xdr:colOff>
      <xdr:row>5</xdr:row>
      <xdr:rowOff>560673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2A2285B4-7235-4A9C-B241-3274AF7A739B}"/>
            </a:ext>
          </a:extLst>
        </xdr:cNvPr>
        <xdr:cNvSpPr/>
      </xdr:nvSpPr>
      <xdr:spPr>
        <a:xfrm>
          <a:off x="13967236" y="3858948"/>
          <a:ext cx="2160383" cy="273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2o Transportation comany - II &amp; III</a:t>
          </a:r>
        </a:p>
      </xdr:txBody>
    </xdr:sp>
    <xdr:clientData/>
  </xdr:twoCellAnchor>
  <xdr:twoCellAnchor>
    <xdr:from>
      <xdr:col>16</xdr:col>
      <xdr:colOff>33523</xdr:colOff>
      <xdr:row>10</xdr:row>
      <xdr:rowOff>208674</xdr:rowOff>
    </xdr:from>
    <xdr:to>
      <xdr:col>28</xdr:col>
      <xdr:colOff>129951</xdr:colOff>
      <xdr:row>10</xdr:row>
      <xdr:rowOff>463177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F6E0799B-6BBD-D06E-30EF-CF735EADA9E8}"/>
            </a:ext>
          </a:extLst>
        </xdr:cNvPr>
        <xdr:cNvSpPr/>
      </xdr:nvSpPr>
      <xdr:spPr>
        <a:xfrm>
          <a:off x="13667880" y="6780924"/>
          <a:ext cx="3852000" cy="25450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GDMC Symbolic transfer</a:t>
          </a:r>
        </a:p>
      </xdr:txBody>
    </xdr:sp>
    <xdr:clientData/>
  </xdr:twoCellAnchor>
  <xdr:twoCellAnchor>
    <xdr:from>
      <xdr:col>16</xdr:col>
      <xdr:colOff>32779</xdr:colOff>
      <xdr:row>10</xdr:row>
      <xdr:rowOff>485858</xdr:rowOff>
    </xdr:from>
    <xdr:to>
      <xdr:col>19</xdr:col>
      <xdr:colOff>245886</xdr:colOff>
      <xdr:row>10</xdr:row>
      <xdr:rowOff>629858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48CD14C0-AE74-AA06-0C36-4007FA825B37}"/>
            </a:ext>
          </a:extLst>
        </xdr:cNvPr>
        <xdr:cNvSpPr/>
      </xdr:nvSpPr>
      <xdr:spPr>
        <a:xfrm>
          <a:off x="13667136" y="7058108"/>
          <a:ext cx="1152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</a:t>
          </a:r>
        </a:p>
      </xdr:txBody>
    </xdr:sp>
    <xdr:clientData/>
  </xdr:twoCellAnchor>
  <xdr:twoCellAnchor>
    <xdr:from>
      <xdr:col>19</xdr:col>
      <xdr:colOff>302908</xdr:colOff>
      <xdr:row>10</xdr:row>
      <xdr:rowOff>485858</xdr:rowOff>
    </xdr:from>
    <xdr:to>
      <xdr:col>23</xdr:col>
      <xdr:colOff>311051</xdr:colOff>
      <xdr:row>10</xdr:row>
      <xdr:rowOff>629858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4C7EFAAB-1AF0-4B9C-1E19-FBF7CB9CE57A}"/>
            </a:ext>
          </a:extLst>
        </xdr:cNvPr>
        <xdr:cNvSpPr/>
      </xdr:nvSpPr>
      <xdr:spPr>
        <a:xfrm>
          <a:off x="14876158" y="7058108"/>
          <a:ext cx="1260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24</xdr:col>
      <xdr:colOff>60377</xdr:colOff>
      <xdr:row>10</xdr:row>
      <xdr:rowOff>485858</xdr:rowOff>
    </xdr:from>
    <xdr:to>
      <xdr:col>26</xdr:col>
      <xdr:colOff>39357</xdr:colOff>
      <xdr:row>10</xdr:row>
      <xdr:rowOff>629858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206C2373-38BC-05EF-526F-6DBAB4FAA3DE}"/>
            </a:ext>
          </a:extLst>
        </xdr:cNvPr>
        <xdr:cNvSpPr/>
      </xdr:nvSpPr>
      <xdr:spPr>
        <a:xfrm>
          <a:off x="16228029" y="8925836"/>
          <a:ext cx="608458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26</xdr:col>
      <xdr:colOff>101423</xdr:colOff>
      <xdr:row>10</xdr:row>
      <xdr:rowOff>485858</xdr:rowOff>
    </xdr:from>
    <xdr:to>
      <xdr:col>28</xdr:col>
      <xdr:colOff>123494</xdr:colOff>
      <xdr:row>10</xdr:row>
      <xdr:rowOff>629858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BF827393-BF94-EA3E-A565-E553C37AAF0B}"/>
            </a:ext>
          </a:extLst>
        </xdr:cNvPr>
        <xdr:cNvSpPr/>
      </xdr:nvSpPr>
      <xdr:spPr>
        <a:xfrm>
          <a:off x="16865423" y="7058108"/>
          <a:ext cx="648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15</xdr:col>
      <xdr:colOff>21404</xdr:colOff>
      <xdr:row>7</xdr:row>
      <xdr:rowOff>135164</xdr:rowOff>
    </xdr:from>
    <xdr:to>
      <xdr:col>25</xdr:col>
      <xdr:colOff>311761</xdr:colOff>
      <xdr:row>7</xdr:row>
      <xdr:rowOff>374427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0989D73-7FA8-022D-5AA4-7C854846FDE8}"/>
            </a:ext>
          </a:extLst>
        </xdr:cNvPr>
        <xdr:cNvSpPr/>
      </xdr:nvSpPr>
      <xdr:spPr>
        <a:xfrm>
          <a:off x="13333992" y="5357105"/>
          <a:ext cx="3428004" cy="2392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x  Factory (Status &amp; PDI/Release Sales Vehicle)</a:t>
          </a:r>
        </a:p>
      </xdr:txBody>
    </xdr:sp>
    <xdr:clientData/>
  </xdr:twoCellAnchor>
  <xdr:twoCellAnchor>
    <xdr:from>
      <xdr:col>15</xdr:col>
      <xdr:colOff>16283</xdr:colOff>
      <xdr:row>7</xdr:row>
      <xdr:rowOff>390524</xdr:rowOff>
    </xdr:from>
    <xdr:to>
      <xdr:col>17</xdr:col>
      <xdr:colOff>754</xdr:colOff>
      <xdr:row>7</xdr:row>
      <xdr:rowOff>534524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22D58120-211F-B6BB-9013-A097229F44A2}"/>
            </a:ext>
          </a:extLst>
        </xdr:cNvPr>
        <xdr:cNvSpPr/>
      </xdr:nvSpPr>
      <xdr:spPr>
        <a:xfrm>
          <a:off x="13328871" y="5612465"/>
          <a:ext cx="612001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 Req</a:t>
          </a:r>
        </a:p>
      </xdr:txBody>
    </xdr:sp>
    <xdr:clientData/>
  </xdr:twoCellAnchor>
  <xdr:twoCellAnchor>
    <xdr:from>
      <xdr:col>17</xdr:col>
      <xdr:colOff>41374</xdr:colOff>
      <xdr:row>7</xdr:row>
      <xdr:rowOff>390524</xdr:rowOff>
    </xdr:from>
    <xdr:to>
      <xdr:col>21</xdr:col>
      <xdr:colOff>301517</xdr:colOff>
      <xdr:row>7</xdr:row>
      <xdr:rowOff>534524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F55C144-F299-836F-8EA0-1FA32A6B0D23}"/>
            </a:ext>
          </a:extLst>
        </xdr:cNvPr>
        <xdr:cNvSpPr/>
      </xdr:nvSpPr>
      <xdr:spPr>
        <a:xfrm>
          <a:off x="13981492" y="5612465"/>
          <a:ext cx="1515201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22</xdr:col>
      <xdr:colOff>54712</xdr:colOff>
      <xdr:row>7</xdr:row>
      <xdr:rowOff>390524</xdr:rowOff>
    </xdr:from>
    <xdr:to>
      <xdr:col>24</xdr:col>
      <xdr:colOff>24166</xdr:colOff>
      <xdr:row>7</xdr:row>
      <xdr:rowOff>534524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BAC8EAD4-147C-AD35-20FB-A7D0D18E6082}"/>
            </a:ext>
          </a:extLst>
        </xdr:cNvPr>
        <xdr:cNvSpPr/>
      </xdr:nvSpPr>
      <xdr:spPr>
        <a:xfrm>
          <a:off x="15592886" y="5608567"/>
          <a:ext cx="598932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Tests</a:t>
          </a:r>
        </a:p>
      </xdr:txBody>
    </xdr:sp>
    <xdr:clientData/>
  </xdr:twoCellAnchor>
  <xdr:twoCellAnchor>
    <xdr:from>
      <xdr:col>24</xdr:col>
      <xdr:colOff>54937</xdr:colOff>
      <xdr:row>7</xdr:row>
      <xdr:rowOff>390524</xdr:rowOff>
    </xdr:from>
    <xdr:to>
      <xdr:col>25</xdr:col>
      <xdr:colOff>300057</xdr:colOff>
      <xdr:row>7</xdr:row>
      <xdr:rowOff>534524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9DE7245B-6521-8721-F588-842A14EAB66A}"/>
            </a:ext>
          </a:extLst>
        </xdr:cNvPr>
        <xdr:cNvSpPr/>
      </xdr:nvSpPr>
      <xdr:spPr>
        <a:xfrm>
          <a:off x="16191408" y="5612465"/>
          <a:ext cx="558884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15</xdr:col>
      <xdr:colOff>30256</xdr:colOff>
      <xdr:row>6</xdr:row>
      <xdr:rowOff>528070</xdr:rowOff>
    </xdr:from>
    <xdr:to>
      <xdr:col>18</xdr:col>
      <xdr:colOff>29763</xdr:colOff>
      <xdr:row>6</xdr:row>
      <xdr:rowOff>679690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3B46DAE6-6D99-45F3-AC6B-4A3D2C53198E}"/>
            </a:ext>
          </a:extLst>
        </xdr:cNvPr>
        <xdr:cNvSpPr/>
      </xdr:nvSpPr>
      <xdr:spPr>
        <a:xfrm>
          <a:off x="13342844" y="4864746"/>
          <a:ext cx="940801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20</xdr:col>
      <xdr:colOff>23936</xdr:colOff>
      <xdr:row>6</xdr:row>
      <xdr:rowOff>528070</xdr:rowOff>
    </xdr:from>
    <xdr:to>
      <xdr:col>22</xdr:col>
      <xdr:colOff>4516</xdr:colOff>
      <xdr:row>6</xdr:row>
      <xdr:rowOff>679690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88B62793-F247-49B7-8E8E-0A3FF7C1344D}"/>
            </a:ext>
          </a:extLst>
        </xdr:cNvPr>
        <xdr:cNvSpPr/>
      </xdr:nvSpPr>
      <xdr:spPr>
        <a:xfrm>
          <a:off x="14905348" y="4864746"/>
          <a:ext cx="608109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18</xdr:col>
      <xdr:colOff>51663</xdr:colOff>
      <xdr:row>6</xdr:row>
      <xdr:rowOff>528070</xdr:rowOff>
    </xdr:from>
    <xdr:to>
      <xdr:col>20</xdr:col>
      <xdr:colOff>632</xdr:colOff>
      <xdr:row>6</xdr:row>
      <xdr:rowOff>679690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5F60D09A-5DE9-4FD6-9E9D-7FBA3571E3E7}"/>
            </a:ext>
          </a:extLst>
        </xdr:cNvPr>
        <xdr:cNvSpPr/>
      </xdr:nvSpPr>
      <xdr:spPr>
        <a:xfrm>
          <a:off x="14305545" y="4864746"/>
          <a:ext cx="576499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9</xdr:col>
      <xdr:colOff>15629</xdr:colOff>
      <xdr:row>86</xdr:row>
      <xdr:rowOff>418211</xdr:rowOff>
    </xdr:from>
    <xdr:to>
      <xdr:col>21</xdr:col>
      <xdr:colOff>56029</xdr:colOff>
      <xdr:row>86</xdr:row>
      <xdr:rowOff>661378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8FD92E1C-1302-42A8-A469-719AC6F0983F}"/>
            </a:ext>
          </a:extLst>
        </xdr:cNvPr>
        <xdr:cNvSpPr/>
      </xdr:nvSpPr>
      <xdr:spPr>
        <a:xfrm>
          <a:off x="10244358" y="25026329"/>
          <a:ext cx="3913153" cy="2431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Service revision retention - Phase I - Contact Moment </a:t>
          </a:r>
        </a:p>
      </xdr:txBody>
    </xdr:sp>
    <xdr:clientData/>
  </xdr:twoCellAnchor>
  <xdr:twoCellAnchor>
    <xdr:from>
      <xdr:col>9</xdr:col>
      <xdr:colOff>1</xdr:colOff>
      <xdr:row>86</xdr:row>
      <xdr:rowOff>654205</xdr:rowOff>
    </xdr:from>
    <xdr:to>
      <xdr:col>12</xdr:col>
      <xdr:colOff>288550</xdr:colOff>
      <xdr:row>86</xdr:row>
      <xdr:rowOff>788680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3A5CBC6A-E4BB-493F-903C-3EEDE8B3C399}"/>
            </a:ext>
          </a:extLst>
        </xdr:cNvPr>
        <xdr:cNvSpPr/>
      </xdr:nvSpPr>
      <xdr:spPr>
        <a:xfrm>
          <a:off x="10623177" y="10515381"/>
          <a:ext cx="1263461" cy="1344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13</xdr:col>
      <xdr:colOff>18176</xdr:colOff>
      <xdr:row>86</xdr:row>
      <xdr:rowOff>648267</xdr:rowOff>
    </xdr:from>
    <xdr:to>
      <xdr:col>16</xdr:col>
      <xdr:colOff>309988</xdr:colOff>
      <xdr:row>86</xdr:row>
      <xdr:rowOff>790362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518F1FF2-D4EB-4570-ADCE-D1E62B72486A}"/>
            </a:ext>
          </a:extLst>
        </xdr:cNvPr>
        <xdr:cNvSpPr/>
      </xdr:nvSpPr>
      <xdr:spPr>
        <a:xfrm>
          <a:off x="11537823" y="25256385"/>
          <a:ext cx="1260000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17</xdr:col>
      <xdr:colOff>18072</xdr:colOff>
      <xdr:row>86</xdr:row>
      <xdr:rowOff>648267</xdr:rowOff>
    </xdr:from>
    <xdr:to>
      <xdr:col>19</xdr:col>
      <xdr:colOff>17704</xdr:colOff>
      <xdr:row>86</xdr:row>
      <xdr:rowOff>790362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9F294BE1-FCDA-457C-8741-4E1126A8ABFA}"/>
            </a:ext>
          </a:extLst>
        </xdr:cNvPr>
        <xdr:cNvSpPr/>
      </xdr:nvSpPr>
      <xdr:spPr>
        <a:xfrm>
          <a:off x="12828637" y="25256385"/>
          <a:ext cx="645091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19</xdr:col>
      <xdr:colOff>47270</xdr:colOff>
      <xdr:row>86</xdr:row>
      <xdr:rowOff>648267</xdr:rowOff>
    </xdr:from>
    <xdr:to>
      <xdr:col>21</xdr:col>
      <xdr:colOff>31740</xdr:colOff>
      <xdr:row>86</xdr:row>
      <xdr:rowOff>790362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93596A7F-5FDC-44FA-801C-E05C5E8CE483}"/>
            </a:ext>
          </a:extLst>
        </xdr:cNvPr>
        <xdr:cNvSpPr/>
      </xdr:nvSpPr>
      <xdr:spPr>
        <a:xfrm>
          <a:off x="13503294" y="25256385"/>
          <a:ext cx="629928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13</xdr:col>
      <xdr:colOff>16920</xdr:colOff>
      <xdr:row>87</xdr:row>
      <xdr:rowOff>1538362</xdr:rowOff>
    </xdr:from>
    <xdr:to>
      <xdr:col>14</xdr:col>
      <xdr:colOff>279155</xdr:colOff>
      <xdr:row>87</xdr:row>
      <xdr:rowOff>1682362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09D1C401-BEDE-45A4-9381-052542EAD4C4}"/>
            </a:ext>
          </a:extLst>
        </xdr:cNvPr>
        <xdr:cNvSpPr/>
      </xdr:nvSpPr>
      <xdr:spPr>
        <a:xfrm>
          <a:off x="11917567" y="20711627"/>
          <a:ext cx="576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14</xdr:col>
      <xdr:colOff>311141</xdr:colOff>
      <xdr:row>87</xdr:row>
      <xdr:rowOff>1538362</xdr:rowOff>
    </xdr:from>
    <xdr:to>
      <xdr:col>17</xdr:col>
      <xdr:colOff>1374</xdr:colOff>
      <xdr:row>87</xdr:row>
      <xdr:rowOff>1682362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8C580EFD-A49A-4887-9725-FC86F17B00DD}"/>
            </a:ext>
          </a:extLst>
        </xdr:cNvPr>
        <xdr:cNvSpPr/>
      </xdr:nvSpPr>
      <xdr:spPr>
        <a:xfrm>
          <a:off x="12525553" y="20711627"/>
          <a:ext cx="631527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17</xdr:col>
      <xdr:colOff>18454</xdr:colOff>
      <xdr:row>87</xdr:row>
      <xdr:rowOff>1538362</xdr:rowOff>
    </xdr:from>
    <xdr:to>
      <xdr:col>18</xdr:col>
      <xdr:colOff>28689</xdr:colOff>
      <xdr:row>87</xdr:row>
      <xdr:rowOff>1682362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367B090C-F503-4321-BFE3-C8520F47F55E}"/>
            </a:ext>
          </a:extLst>
        </xdr:cNvPr>
        <xdr:cNvSpPr/>
      </xdr:nvSpPr>
      <xdr:spPr>
        <a:xfrm>
          <a:off x="13174160" y="20711627"/>
          <a:ext cx="324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 ST</a:t>
          </a:r>
        </a:p>
      </xdr:txBody>
    </xdr:sp>
    <xdr:clientData/>
  </xdr:twoCellAnchor>
  <xdr:twoCellAnchor>
    <xdr:from>
      <xdr:col>18</xdr:col>
      <xdr:colOff>63901</xdr:colOff>
      <xdr:row>87</xdr:row>
      <xdr:rowOff>1538362</xdr:rowOff>
    </xdr:from>
    <xdr:to>
      <xdr:col>20</xdr:col>
      <xdr:colOff>12372</xdr:colOff>
      <xdr:row>87</xdr:row>
      <xdr:rowOff>1682362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C141154D-9D14-46AB-A937-880DD1D0B9E3}"/>
            </a:ext>
          </a:extLst>
        </xdr:cNvPr>
        <xdr:cNvSpPr/>
      </xdr:nvSpPr>
      <xdr:spPr>
        <a:xfrm>
          <a:off x="13533372" y="20711627"/>
          <a:ext cx="576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13</xdr:col>
      <xdr:colOff>17308</xdr:colOff>
      <xdr:row>87</xdr:row>
      <xdr:rowOff>1331614</xdr:rowOff>
    </xdr:from>
    <xdr:to>
      <xdr:col>20</xdr:col>
      <xdr:colOff>16229</xdr:colOff>
      <xdr:row>87</xdr:row>
      <xdr:rowOff>1523346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7BC25ED3-04CC-1439-6CC5-CFB6B9782A20}"/>
            </a:ext>
          </a:extLst>
        </xdr:cNvPr>
        <xdr:cNvSpPr/>
      </xdr:nvSpPr>
      <xdr:spPr>
        <a:xfrm>
          <a:off x="11940367" y="12055643"/>
          <a:ext cx="2273715" cy="1917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"Reclame aqui" benchmarket KPI's</a:t>
          </a:r>
        </a:p>
      </xdr:txBody>
    </xdr:sp>
    <xdr:clientData/>
  </xdr:twoCellAnchor>
  <xdr:twoCellAnchor>
    <xdr:from>
      <xdr:col>17</xdr:col>
      <xdr:colOff>16118</xdr:colOff>
      <xdr:row>87</xdr:row>
      <xdr:rowOff>2948442</xdr:rowOff>
    </xdr:from>
    <xdr:to>
      <xdr:col>25</xdr:col>
      <xdr:colOff>17751</xdr:colOff>
      <xdr:row>87</xdr:row>
      <xdr:rowOff>3098111</xdr:rowOff>
    </xdr:to>
    <xdr:sp macro="" textlink="">
      <xdr:nvSpPr>
        <xdr:cNvPr id="86" name="Chave Direita 85">
          <a:extLst>
            <a:ext uri="{FF2B5EF4-FFF2-40B4-BE49-F238E27FC236}">
              <a16:creationId xmlns:a16="http://schemas.microsoft.com/office/drawing/2014/main" id="{12A070A1-3961-49BF-A716-5C28E31BA21F}"/>
            </a:ext>
          </a:extLst>
        </xdr:cNvPr>
        <xdr:cNvSpPr/>
      </xdr:nvSpPr>
      <xdr:spPr>
        <a:xfrm rot="5400000">
          <a:off x="14464923" y="12446607"/>
          <a:ext cx="149669" cy="2601398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131235</xdr:colOff>
      <xdr:row>87</xdr:row>
      <xdr:rowOff>3060009</xdr:rowOff>
    </xdr:from>
    <xdr:ext cx="2276474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A403C5C6-51E9-4532-866C-D940731103D1}"/>
            </a:ext>
          </a:extLst>
        </xdr:cNvPr>
        <xdr:cNvSpPr txBox="1"/>
      </xdr:nvSpPr>
      <xdr:spPr>
        <a:xfrm>
          <a:off x="13354176" y="13784038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14</xdr:col>
      <xdr:colOff>2517</xdr:colOff>
      <xdr:row>87</xdr:row>
      <xdr:rowOff>2564936</xdr:rowOff>
    </xdr:from>
    <xdr:to>
      <xdr:col>25</xdr:col>
      <xdr:colOff>22125</xdr:colOff>
      <xdr:row>87</xdr:row>
      <xdr:rowOff>2754763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id="{B531BEB0-A5E3-BA1A-91C8-510D345F85CB}"/>
            </a:ext>
          </a:extLst>
        </xdr:cNvPr>
        <xdr:cNvSpPr/>
      </xdr:nvSpPr>
      <xdr:spPr>
        <a:xfrm>
          <a:off x="12250546" y="13288965"/>
          <a:ext cx="3594285" cy="1898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After Sales Tomorrow Guide ( Dealer Evaluation)</a:t>
          </a:r>
        </a:p>
      </xdr:txBody>
    </xdr:sp>
    <xdr:clientData/>
  </xdr:twoCellAnchor>
  <xdr:twoCellAnchor>
    <xdr:from>
      <xdr:col>15</xdr:col>
      <xdr:colOff>19465</xdr:colOff>
      <xdr:row>87</xdr:row>
      <xdr:rowOff>1699280</xdr:rowOff>
    </xdr:from>
    <xdr:to>
      <xdr:col>20</xdr:col>
      <xdr:colOff>3182</xdr:colOff>
      <xdr:row>87</xdr:row>
      <xdr:rowOff>1814705</xdr:rowOff>
    </xdr:to>
    <xdr:sp macro="" textlink="">
      <xdr:nvSpPr>
        <xdr:cNvPr id="89" name="Chave Direita 88">
          <a:extLst>
            <a:ext uri="{FF2B5EF4-FFF2-40B4-BE49-F238E27FC236}">
              <a16:creationId xmlns:a16="http://schemas.microsoft.com/office/drawing/2014/main" id="{4823E84E-DF9A-5645-AD37-7C92D04B79A0}"/>
            </a:ext>
          </a:extLst>
        </xdr:cNvPr>
        <xdr:cNvSpPr/>
      </xdr:nvSpPr>
      <xdr:spPr>
        <a:xfrm rot="5400000">
          <a:off x="13339037" y="11676737"/>
          <a:ext cx="115425" cy="1608570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112409</xdr:colOff>
      <xdr:row>87</xdr:row>
      <xdr:rowOff>1821871</xdr:rowOff>
    </xdr:from>
    <xdr:ext cx="2276474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C804C9CB-2393-CC94-0F75-CEA3517DA18B}"/>
            </a:ext>
          </a:extLst>
        </xdr:cNvPr>
        <xdr:cNvSpPr txBox="1"/>
      </xdr:nvSpPr>
      <xdr:spPr>
        <a:xfrm>
          <a:off x="12360438" y="12545900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19</xdr:col>
      <xdr:colOff>21610</xdr:colOff>
      <xdr:row>87</xdr:row>
      <xdr:rowOff>4095027</xdr:rowOff>
    </xdr:from>
    <xdr:to>
      <xdr:col>27</xdr:col>
      <xdr:colOff>17528</xdr:colOff>
      <xdr:row>87</xdr:row>
      <xdr:rowOff>4259936</xdr:rowOff>
    </xdr:to>
    <xdr:sp macro="" textlink="">
      <xdr:nvSpPr>
        <xdr:cNvPr id="95" name="Chave Direita 94">
          <a:extLst>
            <a:ext uri="{FF2B5EF4-FFF2-40B4-BE49-F238E27FC236}">
              <a16:creationId xmlns:a16="http://schemas.microsoft.com/office/drawing/2014/main" id="{7B788493-1EAA-216D-4648-9A5F1E5040CD}"/>
            </a:ext>
          </a:extLst>
        </xdr:cNvPr>
        <xdr:cNvSpPr/>
      </xdr:nvSpPr>
      <xdr:spPr>
        <a:xfrm rot="5400000">
          <a:off x="14684056" y="28348370"/>
          <a:ext cx="164909" cy="2577753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19</xdr:col>
      <xdr:colOff>136727</xdr:colOff>
      <xdr:row>87</xdr:row>
      <xdr:rowOff>4221834</xdr:rowOff>
    </xdr:from>
    <xdr:ext cx="2276474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F2EC1819-68D2-B3A8-05D3-507B957B0A3E}"/>
            </a:ext>
          </a:extLst>
        </xdr:cNvPr>
        <xdr:cNvSpPr txBox="1"/>
      </xdr:nvSpPr>
      <xdr:spPr>
        <a:xfrm>
          <a:off x="13592751" y="29681599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16</xdr:col>
      <xdr:colOff>21344</xdr:colOff>
      <xdr:row>87</xdr:row>
      <xdr:rowOff>3726761</xdr:rowOff>
    </xdr:from>
    <xdr:to>
      <xdr:col>27</xdr:col>
      <xdr:colOff>18092</xdr:colOff>
      <xdr:row>87</xdr:row>
      <xdr:rowOff>3916588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E2F2C034-2144-D9C3-2D37-CF324371FE21}"/>
            </a:ext>
          </a:extLst>
        </xdr:cNvPr>
        <xdr:cNvSpPr/>
      </xdr:nvSpPr>
      <xdr:spPr>
        <a:xfrm>
          <a:off x="12509179" y="29186526"/>
          <a:ext cx="3546772" cy="1898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Overview Logistic operation KPIs</a:t>
          </a:r>
        </a:p>
      </xdr:txBody>
    </xdr:sp>
    <xdr:clientData/>
  </xdr:twoCellAnchor>
  <xdr:twoCellAnchor>
    <xdr:from>
      <xdr:col>27</xdr:col>
      <xdr:colOff>12886</xdr:colOff>
      <xdr:row>87</xdr:row>
      <xdr:rowOff>2607399</xdr:rowOff>
    </xdr:from>
    <xdr:to>
      <xdr:col>34</xdr:col>
      <xdr:colOff>131108</xdr:colOff>
      <xdr:row>87</xdr:row>
      <xdr:rowOff>3107629</xdr:rowOff>
    </xdr:to>
    <xdr:sp macro="" textlink="">
      <xdr:nvSpPr>
        <xdr:cNvPr id="98" name="Balão de Fala: Retângulo 97">
          <a:extLst>
            <a:ext uri="{FF2B5EF4-FFF2-40B4-BE49-F238E27FC236}">
              <a16:creationId xmlns:a16="http://schemas.microsoft.com/office/drawing/2014/main" id="{E177BFBC-74F7-0F58-D546-4D7AD014D354}"/>
            </a:ext>
          </a:extLst>
        </xdr:cNvPr>
        <xdr:cNvSpPr/>
      </xdr:nvSpPr>
      <xdr:spPr>
        <a:xfrm>
          <a:off x="16485533" y="13331428"/>
          <a:ext cx="2393016" cy="500230"/>
        </a:xfrm>
        <a:prstGeom prst="wedgeRectCallout">
          <a:avLst>
            <a:gd name="adj1" fmla="val -76185"/>
            <a:gd name="adj2" fmla="val -810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Big Demand - Probably to be planned in phases</a:t>
          </a:r>
        </a:p>
      </xdr:txBody>
    </xdr:sp>
    <xdr:clientData/>
  </xdr:twoCellAnchor>
  <xdr:twoCellAnchor>
    <xdr:from>
      <xdr:col>29</xdr:col>
      <xdr:colOff>1907</xdr:colOff>
      <xdr:row>87</xdr:row>
      <xdr:rowOff>3763059</xdr:rowOff>
    </xdr:from>
    <xdr:to>
      <xdr:col>36</xdr:col>
      <xdr:colOff>91554</xdr:colOff>
      <xdr:row>87</xdr:row>
      <xdr:rowOff>4295674</xdr:rowOff>
    </xdr:to>
    <xdr:sp macro="" textlink="">
      <xdr:nvSpPr>
        <xdr:cNvPr id="99" name="Balão de Fala: Retângulo 98">
          <a:extLst>
            <a:ext uri="{FF2B5EF4-FFF2-40B4-BE49-F238E27FC236}">
              <a16:creationId xmlns:a16="http://schemas.microsoft.com/office/drawing/2014/main" id="{FDCBDF7A-5751-7BD5-ABF4-0DEC770B6634}"/>
            </a:ext>
          </a:extLst>
        </xdr:cNvPr>
        <xdr:cNvSpPr/>
      </xdr:nvSpPr>
      <xdr:spPr>
        <a:xfrm>
          <a:off x="16685225" y="29222824"/>
          <a:ext cx="2348753" cy="532615"/>
        </a:xfrm>
        <a:prstGeom prst="wedgeRectCallout">
          <a:avLst>
            <a:gd name="adj1" fmla="val -74774"/>
            <a:gd name="adj2" fmla="val -13662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Big Demand - Probably to be planned in phases</a:t>
          </a:r>
        </a:p>
      </xdr:txBody>
    </xdr:sp>
    <xdr:clientData/>
  </xdr:twoCellAnchor>
  <xdr:twoCellAnchor>
    <xdr:from>
      <xdr:col>21</xdr:col>
      <xdr:colOff>167864</xdr:colOff>
      <xdr:row>87</xdr:row>
      <xdr:rowOff>1385721</xdr:rowOff>
    </xdr:from>
    <xdr:to>
      <xdr:col>26</xdr:col>
      <xdr:colOff>209327</xdr:colOff>
      <xdr:row>87</xdr:row>
      <xdr:rowOff>1649634</xdr:rowOff>
    </xdr:to>
    <xdr:sp macro="" textlink="">
      <xdr:nvSpPr>
        <xdr:cNvPr id="100" name="Balão de Fala: Retângulo 99">
          <a:extLst>
            <a:ext uri="{FF2B5EF4-FFF2-40B4-BE49-F238E27FC236}">
              <a16:creationId xmlns:a16="http://schemas.microsoft.com/office/drawing/2014/main" id="{81902A2F-325C-0B07-AD94-94D7432C9235}"/>
            </a:ext>
          </a:extLst>
        </xdr:cNvPr>
        <xdr:cNvSpPr/>
      </xdr:nvSpPr>
      <xdr:spPr>
        <a:xfrm>
          <a:off x="14690688" y="12109750"/>
          <a:ext cx="1666315" cy="263913"/>
        </a:xfrm>
        <a:prstGeom prst="wedgeRectCallout">
          <a:avLst>
            <a:gd name="adj1" fmla="val -75248"/>
            <a:gd name="adj2" fmla="val 38936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Falta Assinatura da UR</a:t>
          </a:r>
        </a:p>
      </xdr:txBody>
    </xdr:sp>
    <xdr:clientData/>
  </xdr:twoCellAnchor>
  <xdr:twoCellAnchor>
    <xdr:from>
      <xdr:col>17</xdr:col>
      <xdr:colOff>38041</xdr:colOff>
      <xdr:row>87</xdr:row>
      <xdr:rowOff>98725</xdr:rowOff>
    </xdr:from>
    <xdr:to>
      <xdr:col>25</xdr:col>
      <xdr:colOff>318276</xdr:colOff>
      <xdr:row>87</xdr:row>
      <xdr:rowOff>441580</xdr:rowOff>
    </xdr:to>
    <xdr:sp macro="" textlink="">
      <xdr:nvSpPr>
        <xdr:cNvPr id="101" name="Retângulo 100">
          <a:extLst>
            <a:ext uri="{FF2B5EF4-FFF2-40B4-BE49-F238E27FC236}">
              <a16:creationId xmlns:a16="http://schemas.microsoft.com/office/drawing/2014/main" id="{57CB1141-FB3F-CB60-BB8D-511AA0608D5B}"/>
            </a:ext>
          </a:extLst>
        </xdr:cNvPr>
        <xdr:cNvSpPr/>
      </xdr:nvSpPr>
      <xdr:spPr>
        <a:xfrm>
          <a:off x="13260982" y="10822754"/>
          <a:ext cx="2880000" cy="34285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 revision retention -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 II - WhatsApp Customer Reminder</a:t>
          </a:r>
        </a:p>
      </xdr:txBody>
    </xdr:sp>
    <xdr:clientData/>
  </xdr:twoCellAnchor>
  <xdr:twoCellAnchor>
    <xdr:from>
      <xdr:col>17</xdr:col>
      <xdr:colOff>33619</xdr:colOff>
      <xdr:row>87</xdr:row>
      <xdr:rowOff>457991</xdr:rowOff>
    </xdr:from>
    <xdr:to>
      <xdr:col>18</xdr:col>
      <xdr:colOff>295854</xdr:colOff>
      <xdr:row>87</xdr:row>
      <xdr:rowOff>588656</xdr:rowOff>
    </xdr:to>
    <xdr:sp macro="" textlink="">
      <xdr:nvSpPr>
        <xdr:cNvPr id="102" name="Retângulo 101">
          <a:extLst>
            <a:ext uri="{FF2B5EF4-FFF2-40B4-BE49-F238E27FC236}">
              <a16:creationId xmlns:a16="http://schemas.microsoft.com/office/drawing/2014/main" id="{0A2E0C24-4030-A9C3-E897-EE49825061B2}"/>
            </a:ext>
          </a:extLst>
        </xdr:cNvPr>
        <xdr:cNvSpPr/>
      </xdr:nvSpPr>
      <xdr:spPr>
        <a:xfrm>
          <a:off x="13189325" y="19631256"/>
          <a:ext cx="576000" cy="13066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19</xdr:col>
      <xdr:colOff>17950</xdr:colOff>
      <xdr:row>87</xdr:row>
      <xdr:rowOff>453958</xdr:rowOff>
    </xdr:from>
    <xdr:to>
      <xdr:col>21</xdr:col>
      <xdr:colOff>304008</xdr:colOff>
      <xdr:row>87</xdr:row>
      <xdr:rowOff>590338</xdr:rowOff>
    </xdr:to>
    <xdr:sp macro="" textlink="">
      <xdr:nvSpPr>
        <xdr:cNvPr id="103" name="Retângulo 102">
          <a:extLst>
            <a:ext uri="{FF2B5EF4-FFF2-40B4-BE49-F238E27FC236}">
              <a16:creationId xmlns:a16="http://schemas.microsoft.com/office/drawing/2014/main" id="{8B1540EC-EAA5-379F-891C-B65070DB9451}"/>
            </a:ext>
          </a:extLst>
        </xdr:cNvPr>
        <xdr:cNvSpPr/>
      </xdr:nvSpPr>
      <xdr:spPr>
        <a:xfrm>
          <a:off x="13890832" y="11177987"/>
          <a:ext cx="936000" cy="13638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22</xdr:col>
      <xdr:colOff>20421</xdr:colOff>
      <xdr:row>87</xdr:row>
      <xdr:rowOff>453958</xdr:rowOff>
    </xdr:from>
    <xdr:to>
      <xdr:col>24</xdr:col>
      <xdr:colOff>25768</xdr:colOff>
      <xdr:row>87</xdr:row>
      <xdr:rowOff>594148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45B46C82-834A-8260-0854-477ED57C1605}"/>
            </a:ext>
          </a:extLst>
        </xdr:cNvPr>
        <xdr:cNvSpPr/>
      </xdr:nvSpPr>
      <xdr:spPr>
        <a:xfrm>
          <a:off x="14868215" y="11177987"/>
          <a:ext cx="655288" cy="14019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24</xdr:col>
      <xdr:colOff>53652</xdr:colOff>
      <xdr:row>87</xdr:row>
      <xdr:rowOff>453958</xdr:rowOff>
    </xdr:from>
    <xdr:to>
      <xdr:col>25</xdr:col>
      <xdr:colOff>304681</xdr:colOff>
      <xdr:row>87</xdr:row>
      <xdr:rowOff>594148</xdr:rowOff>
    </xdr:to>
    <xdr:sp macro="" textlink="">
      <xdr:nvSpPr>
        <xdr:cNvPr id="105" name="Retângulo 104">
          <a:extLst>
            <a:ext uri="{FF2B5EF4-FFF2-40B4-BE49-F238E27FC236}">
              <a16:creationId xmlns:a16="http://schemas.microsoft.com/office/drawing/2014/main" id="{B6983145-16FB-56C9-2216-E92F676EEB3C}"/>
            </a:ext>
          </a:extLst>
        </xdr:cNvPr>
        <xdr:cNvSpPr/>
      </xdr:nvSpPr>
      <xdr:spPr>
        <a:xfrm>
          <a:off x="15551387" y="11177987"/>
          <a:ext cx="576000" cy="14019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19</xdr:col>
      <xdr:colOff>38821</xdr:colOff>
      <xdr:row>87</xdr:row>
      <xdr:rowOff>606161</xdr:rowOff>
    </xdr:from>
    <xdr:to>
      <xdr:col>25</xdr:col>
      <xdr:colOff>320997</xdr:colOff>
      <xdr:row>87</xdr:row>
      <xdr:rowOff>742541</xdr:rowOff>
    </xdr:to>
    <xdr:sp macro="" textlink="">
      <xdr:nvSpPr>
        <xdr:cNvPr id="106" name="Chave Direita 105">
          <a:extLst>
            <a:ext uri="{FF2B5EF4-FFF2-40B4-BE49-F238E27FC236}">
              <a16:creationId xmlns:a16="http://schemas.microsoft.com/office/drawing/2014/main" id="{E07C1F25-B45E-9819-7BB9-A77C3C3F11AE}"/>
            </a:ext>
          </a:extLst>
        </xdr:cNvPr>
        <xdr:cNvSpPr/>
      </xdr:nvSpPr>
      <xdr:spPr>
        <a:xfrm rot="5400000">
          <a:off x="14959513" y="10282380"/>
          <a:ext cx="136380" cy="2232000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18</xdr:col>
      <xdr:colOff>144121</xdr:colOff>
      <xdr:row>87</xdr:row>
      <xdr:rowOff>723918</xdr:rowOff>
    </xdr:from>
    <xdr:ext cx="2276474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EC4C187F-94D5-52EF-621C-B6E9A752AE61}"/>
            </a:ext>
          </a:extLst>
        </xdr:cNvPr>
        <xdr:cNvSpPr txBox="1"/>
      </xdr:nvSpPr>
      <xdr:spPr>
        <a:xfrm>
          <a:off x="13692033" y="11447947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14</xdr:col>
      <xdr:colOff>19263</xdr:colOff>
      <xdr:row>95</xdr:row>
      <xdr:rowOff>599042</xdr:rowOff>
    </xdr:from>
    <xdr:to>
      <xdr:col>25</xdr:col>
      <xdr:colOff>20016</xdr:colOff>
      <xdr:row>95</xdr:row>
      <xdr:rowOff>853545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74FC26AC-D8E2-47CE-8B2D-1F8C362E140C}"/>
            </a:ext>
          </a:extLst>
        </xdr:cNvPr>
        <xdr:cNvSpPr/>
      </xdr:nvSpPr>
      <xdr:spPr>
        <a:xfrm>
          <a:off x="11897498" y="9787866"/>
          <a:ext cx="3452165" cy="2545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Whole Sales Phase I</a:t>
          </a:r>
        </a:p>
      </xdr:txBody>
    </xdr:sp>
    <xdr:clientData/>
  </xdr:twoCellAnchor>
  <xdr:twoCellAnchor>
    <xdr:from>
      <xdr:col>14</xdr:col>
      <xdr:colOff>18520</xdr:colOff>
      <xdr:row>95</xdr:row>
      <xdr:rowOff>854766</xdr:rowOff>
    </xdr:from>
    <xdr:to>
      <xdr:col>16</xdr:col>
      <xdr:colOff>282049</xdr:colOff>
      <xdr:row>96</xdr:row>
      <xdr:rowOff>143534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8F6D17E4-1156-4BDC-B606-1AC815E065D0}"/>
            </a:ext>
          </a:extLst>
        </xdr:cNvPr>
        <xdr:cNvSpPr/>
      </xdr:nvSpPr>
      <xdr:spPr>
        <a:xfrm>
          <a:off x="11896755" y="10043590"/>
          <a:ext cx="891059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17</xdr:col>
      <xdr:colOff>20419</xdr:colOff>
      <xdr:row>95</xdr:row>
      <xdr:rowOff>853814</xdr:rowOff>
    </xdr:from>
    <xdr:to>
      <xdr:col>21</xdr:col>
      <xdr:colOff>18441</xdr:colOff>
      <xdr:row>96</xdr:row>
      <xdr:rowOff>146392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B7217977-FA44-4CC5-8F6D-71D791BEA8E4}"/>
            </a:ext>
          </a:extLst>
        </xdr:cNvPr>
        <xdr:cNvSpPr/>
      </xdr:nvSpPr>
      <xdr:spPr>
        <a:xfrm>
          <a:off x="12839948" y="10042638"/>
          <a:ext cx="1253081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21</xdr:col>
      <xdr:colOff>22105</xdr:colOff>
      <xdr:row>95</xdr:row>
      <xdr:rowOff>853814</xdr:rowOff>
    </xdr:from>
    <xdr:to>
      <xdr:col>23</xdr:col>
      <xdr:colOff>1085</xdr:colOff>
      <xdr:row>96</xdr:row>
      <xdr:rowOff>146392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3645A2E8-D411-40D4-9AEA-E779B3F7D417}"/>
            </a:ext>
          </a:extLst>
        </xdr:cNvPr>
        <xdr:cNvSpPr/>
      </xdr:nvSpPr>
      <xdr:spPr>
        <a:xfrm>
          <a:off x="14096693" y="10042638"/>
          <a:ext cx="606510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23</xdr:col>
      <xdr:colOff>22330</xdr:colOff>
      <xdr:row>95</xdr:row>
      <xdr:rowOff>853814</xdr:rowOff>
    </xdr:from>
    <xdr:to>
      <xdr:col>25</xdr:col>
      <xdr:colOff>1534</xdr:colOff>
      <xdr:row>96</xdr:row>
      <xdr:rowOff>146392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D14D93FA-877A-422F-9C95-75CCF46965BD}"/>
            </a:ext>
          </a:extLst>
        </xdr:cNvPr>
        <xdr:cNvSpPr/>
      </xdr:nvSpPr>
      <xdr:spPr>
        <a:xfrm>
          <a:off x="14724448" y="10042638"/>
          <a:ext cx="606733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19</xdr:col>
      <xdr:colOff>54350</xdr:colOff>
      <xdr:row>96</xdr:row>
      <xdr:rowOff>287856</xdr:rowOff>
    </xdr:from>
    <xdr:to>
      <xdr:col>30</xdr:col>
      <xdr:colOff>54574</xdr:colOff>
      <xdr:row>96</xdr:row>
      <xdr:rowOff>487114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B76109FF-59AF-4D6B-9892-453F5F561369}"/>
            </a:ext>
          </a:extLst>
        </xdr:cNvPr>
        <xdr:cNvSpPr/>
      </xdr:nvSpPr>
      <xdr:spPr>
        <a:xfrm>
          <a:off x="13501409" y="10339532"/>
          <a:ext cx="3451636" cy="19925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GDMC - Whole Sales Phase II</a:t>
          </a:r>
        </a:p>
      </xdr:txBody>
    </xdr:sp>
    <xdr:clientData/>
  </xdr:twoCellAnchor>
  <xdr:twoCellAnchor>
    <xdr:from>
      <xdr:col>19</xdr:col>
      <xdr:colOff>55728</xdr:colOff>
      <xdr:row>96</xdr:row>
      <xdr:rowOff>486737</xdr:rowOff>
    </xdr:from>
    <xdr:to>
      <xdr:col>22</xdr:col>
      <xdr:colOff>20957</xdr:colOff>
      <xdr:row>96</xdr:row>
      <xdr:rowOff>634547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8E20CB5D-4144-4211-BBE6-6975C1F95439}"/>
            </a:ext>
          </a:extLst>
        </xdr:cNvPr>
        <xdr:cNvSpPr/>
      </xdr:nvSpPr>
      <xdr:spPr>
        <a:xfrm>
          <a:off x="13502787" y="10538413"/>
          <a:ext cx="906523" cy="14781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22</xdr:col>
      <xdr:colOff>59980</xdr:colOff>
      <xdr:row>96</xdr:row>
      <xdr:rowOff>499120</xdr:rowOff>
    </xdr:from>
    <xdr:to>
      <xdr:col>26</xdr:col>
      <xdr:colOff>21808</xdr:colOff>
      <xdr:row>96</xdr:row>
      <xdr:rowOff>639310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F4E1865B-493A-4F67-8A07-2C47F1A43523}"/>
            </a:ext>
          </a:extLst>
        </xdr:cNvPr>
        <xdr:cNvSpPr/>
      </xdr:nvSpPr>
      <xdr:spPr>
        <a:xfrm>
          <a:off x="14448333" y="10550796"/>
          <a:ext cx="1216887" cy="14019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26</xdr:col>
      <xdr:colOff>55952</xdr:colOff>
      <xdr:row>96</xdr:row>
      <xdr:rowOff>486737</xdr:rowOff>
    </xdr:from>
    <xdr:to>
      <xdr:col>28</xdr:col>
      <xdr:colOff>21820</xdr:colOff>
      <xdr:row>96</xdr:row>
      <xdr:rowOff>634547</xdr:rowOff>
    </xdr:to>
    <xdr:sp macro="" textlink="">
      <xdr:nvSpPr>
        <xdr:cNvPr id="53" name="Retângulo 52">
          <a:extLst>
            <a:ext uri="{FF2B5EF4-FFF2-40B4-BE49-F238E27FC236}">
              <a16:creationId xmlns:a16="http://schemas.microsoft.com/office/drawing/2014/main" id="{9B2C0B73-0952-4923-A155-6402A8FC6E9B}"/>
            </a:ext>
          </a:extLst>
        </xdr:cNvPr>
        <xdr:cNvSpPr/>
      </xdr:nvSpPr>
      <xdr:spPr>
        <a:xfrm>
          <a:off x="15699364" y="10538413"/>
          <a:ext cx="593397" cy="14781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28</xdr:col>
      <xdr:colOff>59986</xdr:colOff>
      <xdr:row>96</xdr:row>
      <xdr:rowOff>486738</xdr:rowOff>
    </xdr:from>
    <xdr:to>
      <xdr:col>30</xdr:col>
      <xdr:colOff>866</xdr:colOff>
      <xdr:row>96</xdr:row>
      <xdr:rowOff>634548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3E5C495F-CBBD-42D2-85A3-835D61DF2BFA}"/>
            </a:ext>
          </a:extLst>
        </xdr:cNvPr>
        <xdr:cNvSpPr/>
      </xdr:nvSpPr>
      <xdr:spPr>
        <a:xfrm>
          <a:off x="16330927" y="10538414"/>
          <a:ext cx="568410" cy="14781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16</xdr:col>
      <xdr:colOff>8061</xdr:colOff>
      <xdr:row>94</xdr:row>
      <xdr:rowOff>38748</xdr:rowOff>
    </xdr:from>
    <xdr:to>
      <xdr:col>28</xdr:col>
      <xdr:colOff>310885</xdr:colOff>
      <xdr:row>95</xdr:row>
      <xdr:rowOff>13103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65821D63-AB02-8233-D3C5-BD4AE285C452}"/>
            </a:ext>
          </a:extLst>
        </xdr:cNvPr>
        <xdr:cNvSpPr/>
      </xdr:nvSpPr>
      <xdr:spPr>
        <a:xfrm>
          <a:off x="12513826" y="8947424"/>
          <a:ext cx="4068000" cy="2545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- Whole Sales</a:t>
          </a:r>
        </a:p>
      </xdr:txBody>
    </xdr:sp>
    <xdr:clientData/>
  </xdr:twoCellAnchor>
  <xdr:twoCellAnchor>
    <xdr:from>
      <xdr:col>16</xdr:col>
      <xdr:colOff>7318</xdr:colOff>
      <xdr:row>95</xdr:row>
      <xdr:rowOff>14324</xdr:rowOff>
    </xdr:from>
    <xdr:to>
      <xdr:col>18</xdr:col>
      <xdr:colOff>279789</xdr:colOff>
      <xdr:row>95</xdr:row>
      <xdr:rowOff>165944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948E33EB-1361-1B7E-9622-9227FA99D864}"/>
            </a:ext>
          </a:extLst>
        </xdr:cNvPr>
        <xdr:cNvSpPr/>
      </xdr:nvSpPr>
      <xdr:spPr>
        <a:xfrm>
          <a:off x="12513083" y="9203148"/>
          <a:ext cx="900000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18</xdr:col>
      <xdr:colOff>311776</xdr:colOff>
      <xdr:row>95</xdr:row>
      <xdr:rowOff>13372</xdr:rowOff>
    </xdr:from>
    <xdr:to>
      <xdr:col>24</xdr:col>
      <xdr:colOff>265188</xdr:colOff>
      <xdr:row>95</xdr:row>
      <xdr:rowOff>168802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118782E0-139A-95A0-0F99-F2FAB771F412}"/>
            </a:ext>
          </a:extLst>
        </xdr:cNvPr>
        <xdr:cNvSpPr/>
      </xdr:nvSpPr>
      <xdr:spPr>
        <a:xfrm>
          <a:off x="13445070" y="9202196"/>
          <a:ext cx="1836000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24</xdr:col>
      <xdr:colOff>302260</xdr:colOff>
      <xdr:row>95</xdr:row>
      <xdr:rowOff>13372</xdr:rowOff>
    </xdr:from>
    <xdr:to>
      <xdr:col>26</xdr:col>
      <xdr:colOff>281240</xdr:colOff>
      <xdr:row>95</xdr:row>
      <xdr:rowOff>168802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C2D69DDF-8ADB-BE91-6C47-AF49CFCF4AE1}"/>
            </a:ext>
          </a:extLst>
        </xdr:cNvPr>
        <xdr:cNvSpPr/>
      </xdr:nvSpPr>
      <xdr:spPr>
        <a:xfrm>
          <a:off x="15318142" y="9202196"/>
          <a:ext cx="606510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27</xdr:col>
      <xdr:colOff>22339</xdr:colOff>
      <xdr:row>95</xdr:row>
      <xdr:rowOff>13372</xdr:rowOff>
    </xdr:from>
    <xdr:to>
      <xdr:col>29</xdr:col>
      <xdr:colOff>1542</xdr:colOff>
      <xdr:row>95</xdr:row>
      <xdr:rowOff>168802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2EDA9AF5-691D-39A1-20BB-E62A9F1A3010}"/>
            </a:ext>
          </a:extLst>
        </xdr:cNvPr>
        <xdr:cNvSpPr/>
      </xdr:nvSpPr>
      <xdr:spPr>
        <a:xfrm>
          <a:off x="15979515" y="9202196"/>
          <a:ext cx="606733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14</xdr:col>
      <xdr:colOff>11204</xdr:colOff>
      <xdr:row>95</xdr:row>
      <xdr:rowOff>459433</xdr:rowOff>
    </xdr:from>
    <xdr:to>
      <xdr:col>30</xdr:col>
      <xdr:colOff>102968</xdr:colOff>
      <xdr:row>95</xdr:row>
      <xdr:rowOff>459433</xdr:rowOff>
    </xdr:to>
    <xdr:cxnSp macro="">
      <xdr:nvCxnSpPr>
        <xdr:cNvPr id="109" name="Conector reto 108">
          <a:extLst>
            <a:ext uri="{FF2B5EF4-FFF2-40B4-BE49-F238E27FC236}">
              <a16:creationId xmlns:a16="http://schemas.microsoft.com/office/drawing/2014/main" id="{9913A696-0805-B9EF-45AC-87C625DA71BC}"/>
            </a:ext>
          </a:extLst>
        </xdr:cNvPr>
        <xdr:cNvCxnSpPr/>
      </xdr:nvCxnSpPr>
      <xdr:spPr>
        <a:xfrm>
          <a:off x="11889439" y="9648257"/>
          <a:ext cx="5112000" cy="0"/>
        </a:xfrm>
        <a:prstGeom prst="line">
          <a:avLst/>
        </a:prstGeom>
        <a:ln w="190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302556</xdr:colOff>
      <xdr:row>96</xdr:row>
      <xdr:rowOff>1053348</xdr:rowOff>
    </xdr:from>
    <xdr:to>
      <xdr:col>30</xdr:col>
      <xdr:colOff>80556</xdr:colOff>
      <xdr:row>96</xdr:row>
      <xdr:rowOff>1053348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1122115C-2FDA-A5C2-0750-D8E7709B7585}"/>
            </a:ext>
          </a:extLst>
        </xdr:cNvPr>
        <xdr:cNvCxnSpPr/>
      </xdr:nvCxnSpPr>
      <xdr:spPr>
        <a:xfrm>
          <a:off x="12203203" y="11105024"/>
          <a:ext cx="5112000" cy="0"/>
        </a:xfrm>
        <a:prstGeom prst="line">
          <a:avLst/>
        </a:prstGeom>
        <a:ln w="190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30471</xdr:colOff>
      <xdr:row>96</xdr:row>
      <xdr:rowOff>1394660</xdr:rowOff>
    </xdr:from>
    <xdr:to>
      <xdr:col>34</xdr:col>
      <xdr:colOff>35060</xdr:colOff>
      <xdr:row>96</xdr:row>
      <xdr:rowOff>1649163</xdr:rowOff>
    </xdr:to>
    <xdr:sp macro="" textlink="">
      <xdr:nvSpPr>
        <xdr:cNvPr id="111" name="Retângulo 110">
          <a:extLst>
            <a:ext uri="{FF2B5EF4-FFF2-40B4-BE49-F238E27FC236}">
              <a16:creationId xmlns:a16="http://schemas.microsoft.com/office/drawing/2014/main" id="{1CCABD13-A257-80E5-DCDD-715EDF8DED49}"/>
            </a:ext>
          </a:extLst>
        </xdr:cNvPr>
        <xdr:cNvSpPr/>
      </xdr:nvSpPr>
      <xdr:spPr>
        <a:xfrm>
          <a:off x="15068765" y="11446336"/>
          <a:ext cx="3456001" cy="2545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- Stock Transposition</a:t>
          </a:r>
        </a:p>
      </xdr:txBody>
    </xdr:sp>
    <xdr:clientData/>
  </xdr:twoCellAnchor>
  <xdr:twoCellAnchor>
    <xdr:from>
      <xdr:col>23</xdr:col>
      <xdr:colOff>29728</xdr:colOff>
      <xdr:row>96</xdr:row>
      <xdr:rowOff>1650384</xdr:rowOff>
    </xdr:from>
    <xdr:to>
      <xdr:col>25</xdr:col>
      <xdr:colOff>302199</xdr:colOff>
      <xdr:row>96</xdr:row>
      <xdr:rowOff>1802004</xdr:rowOff>
    </xdr:to>
    <xdr:sp macro="" textlink="">
      <xdr:nvSpPr>
        <xdr:cNvPr id="112" name="Retângulo 111">
          <a:extLst>
            <a:ext uri="{FF2B5EF4-FFF2-40B4-BE49-F238E27FC236}">
              <a16:creationId xmlns:a16="http://schemas.microsoft.com/office/drawing/2014/main" id="{099304C3-534A-EEA4-EC2D-E758D23202AC}"/>
            </a:ext>
          </a:extLst>
        </xdr:cNvPr>
        <xdr:cNvSpPr/>
      </xdr:nvSpPr>
      <xdr:spPr>
        <a:xfrm>
          <a:off x="15068022" y="11702060"/>
          <a:ext cx="900001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26</xdr:col>
      <xdr:colOff>20421</xdr:colOff>
      <xdr:row>96</xdr:row>
      <xdr:rowOff>1660638</xdr:rowOff>
    </xdr:from>
    <xdr:to>
      <xdr:col>29</xdr:col>
      <xdr:colOff>303127</xdr:colOff>
      <xdr:row>96</xdr:row>
      <xdr:rowOff>1816068</xdr:rowOff>
    </xdr:to>
    <xdr:sp macro="" textlink="">
      <xdr:nvSpPr>
        <xdr:cNvPr id="113" name="Retângulo 112">
          <a:extLst>
            <a:ext uri="{FF2B5EF4-FFF2-40B4-BE49-F238E27FC236}">
              <a16:creationId xmlns:a16="http://schemas.microsoft.com/office/drawing/2014/main" id="{FAC33581-6753-0A44-AC5C-6A5B0C8DC38C}"/>
            </a:ext>
          </a:extLst>
        </xdr:cNvPr>
        <xdr:cNvSpPr/>
      </xdr:nvSpPr>
      <xdr:spPr>
        <a:xfrm>
          <a:off x="16000009" y="11712314"/>
          <a:ext cx="1224000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30</xdr:col>
      <xdr:colOff>10901</xdr:colOff>
      <xdr:row>96</xdr:row>
      <xdr:rowOff>1660638</xdr:rowOff>
    </xdr:from>
    <xdr:to>
      <xdr:col>31</xdr:col>
      <xdr:colOff>303647</xdr:colOff>
      <xdr:row>96</xdr:row>
      <xdr:rowOff>1816068</xdr:rowOff>
    </xdr:to>
    <xdr:sp macro="" textlink="">
      <xdr:nvSpPr>
        <xdr:cNvPr id="114" name="Retângulo 113">
          <a:extLst>
            <a:ext uri="{FF2B5EF4-FFF2-40B4-BE49-F238E27FC236}">
              <a16:creationId xmlns:a16="http://schemas.microsoft.com/office/drawing/2014/main" id="{45353E00-D59C-F6B0-A9E2-1D49A5A9DD3E}"/>
            </a:ext>
          </a:extLst>
        </xdr:cNvPr>
        <xdr:cNvSpPr/>
      </xdr:nvSpPr>
      <xdr:spPr>
        <a:xfrm>
          <a:off x="17245548" y="11712314"/>
          <a:ext cx="606511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32</xdr:col>
      <xdr:colOff>44745</xdr:colOff>
      <xdr:row>96</xdr:row>
      <xdr:rowOff>1660638</xdr:rowOff>
    </xdr:from>
    <xdr:to>
      <xdr:col>34</xdr:col>
      <xdr:colOff>23949</xdr:colOff>
      <xdr:row>96</xdr:row>
      <xdr:rowOff>1816068</xdr:rowOff>
    </xdr:to>
    <xdr:sp macro="" textlink="">
      <xdr:nvSpPr>
        <xdr:cNvPr id="115" name="Retângulo 114">
          <a:extLst>
            <a:ext uri="{FF2B5EF4-FFF2-40B4-BE49-F238E27FC236}">
              <a16:creationId xmlns:a16="http://schemas.microsoft.com/office/drawing/2014/main" id="{63E1E2C8-913B-169F-1AF1-8C30033723EA}"/>
            </a:ext>
          </a:extLst>
        </xdr:cNvPr>
        <xdr:cNvSpPr/>
      </xdr:nvSpPr>
      <xdr:spPr>
        <a:xfrm>
          <a:off x="17906921" y="11712314"/>
          <a:ext cx="606734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22</xdr:col>
      <xdr:colOff>48624</xdr:colOff>
      <xdr:row>96</xdr:row>
      <xdr:rowOff>684602</xdr:rowOff>
    </xdr:from>
    <xdr:to>
      <xdr:col>29</xdr:col>
      <xdr:colOff>300271</xdr:colOff>
      <xdr:row>96</xdr:row>
      <xdr:rowOff>792602</xdr:rowOff>
    </xdr:to>
    <xdr:sp macro="" textlink="">
      <xdr:nvSpPr>
        <xdr:cNvPr id="119" name="Chave Direita 118">
          <a:extLst>
            <a:ext uri="{FF2B5EF4-FFF2-40B4-BE49-F238E27FC236}">
              <a16:creationId xmlns:a16="http://schemas.microsoft.com/office/drawing/2014/main" id="{D21CC7AC-DC79-6887-F286-D20944686B23}"/>
            </a:ext>
          </a:extLst>
        </xdr:cNvPr>
        <xdr:cNvSpPr/>
      </xdr:nvSpPr>
      <xdr:spPr>
        <a:xfrm rot="5400000">
          <a:off x="15943153" y="9566278"/>
          <a:ext cx="108000" cy="2448000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8470</xdr:colOff>
      <xdr:row>11</xdr:row>
      <xdr:rowOff>151676</xdr:rowOff>
    </xdr:from>
    <xdr:to>
      <xdr:col>28</xdr:col>
      <xdr:colOff>311242</xdr:colOff>
      <xdr:row>11</xdr:row>
      <xdr:rowOff>406179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4589AD2-E544-7508-3BDE-322DAE4B1ADC}"/>
            </a:ext>
          </a:extLst>
        </xdr:cNvPr>
        <xdr:cNvSpPr/>
      </xdr:nvSpPr>
      <xdr:spPr>
        <a:xfrm>
          <a:off x="14894684" y="7730855"/>
          <a:ext cx="2806487" cy="25450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GDMC VAAS Integration</a:t>
          </a:r>
        </a:p>
      </xdr:txBody>
    </xdr:sp>
    <xdr:clientData/>
  </xdr:twoCellAnchor>
  <xdr:twoCellAnchor>
    <xdr:from>
      <xdr:col>20</xdr:col>
      <xdr:colOff>7727</xdr:colOff>
      <xdr:row>11</xdr:row>
      <xdr:rowOff>428860</xdr:rowOff>
    </xdr:from>
    <xdr:to>
      <xdr:col>21</xdr:col>
      <xdr:colOff>310852</xdr:colOff>
      <xdr:row>11</xdr:row>
      <xdr:rowOff>572860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6F4AEC9C-0CDC-F3AC-DE6D-E44F8E43A2E8}"/>
            </a:ext>
          </a:extLst>
        </xdr:cNvPr>
        <xdr:cNvSpPr/>
      </xdr:nvSpPr>
      <xdr:spPr>
        <a:xfrm>
          <a:off x="14893941" y="8008039"/>
          <a:ext cx="61609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</a:t>
          </a:r>
        </a:p>
      </xdr:txBody>
    </xdr:sp>
    <xdr:clientData/>
  </xdr:twoCellAnchor>
  <xdr:twoCellAnchor>
    <xdr:from>
      <xdr:col>22</xdr:col>
      <xdr:colOff>20829</xdr:colOff>
      <xdr:row>11</xdr:row>
      <xdr:rowOff>428860</xdr:rowOff>
    </xdr:from>
    <xdr:to>
      <xdr:col>24</xdr:col>
      <xdr:colOff>298189</xdr:colOff>
      <xdr:row>11</xdr:row>
      <xdr:rowOff>572860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561A9ACC-716E-FC91-3E1E-001D7840C898}"/>
            </a:ext>
          </a:extLst>
        </xdr:cNvPr>
        <xdr:cNvSpPr/>
      </xdr:nvSpPr>
      <xdr:spPr>
        <a:xfrm>
          <a:off x="15532972" y="8008039"/>
          <a:ext cx="903288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25</xdr:col>
      <xdr:colOff>16667</xdr:colOff>
      <xdr:row>11</xdr:row>
      <xdr:rowOff>428860</xdr:rowOff>
    </xdr:from>
    <xdr:to>
      <xdr:col>26</xdr:col>
      <xdr:colOff>277928</xdr:colOff>
      <xdr:row>11</xdr:row>
      <xdr:rowOff>572860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1595CDF3-5962-34AC-7463-B8DA6598B065}"/>
            </a:ext>
          </a:extLst>
        </xdr:cNvPr>
        <xdr:cNvSpPr/>
      </xdr:nvSpPr>
      <xdr:spPr>
        <a:xfrm>
          <a:off x="16499058" y="9879317"/>
          <a:ext cx="576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27</xdr:col>
      <xdr:colOff>326</xdr:colOff>
      <xdr:row>11</xdr:row>
      <xdr:rowOff>428860</xdr:rowOff>
    </xdr:from>
    <xdr:to>
      <xdr:col>28</xdr:col>
      <xdr:colOff>298185</xdr:colOff>
      <xdr:row>11</xdr:row>
      <xdr:rowOff>572860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F4881806-4225-64C5-C986-094BB95847D8}"/>
            </a:ext>
          </a:extLst>
        </xdr:cNvPr>
        <xdr:cNvSpPr/>
      </xdr:nvSpPr>
      <xdr:spPr>
        <a:xfrm>
          <a:off x="17077290" y="8008039"/>
          <a:ext cx="610824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20</xdr:col>
      <xdr:colOff>5964</xdr:colOff>
      <xdr:row>10</xdr:row>
      <xdr:rowOff>641611</xdr:rowOff>
    </xdr:from>
    <xdr:to>
      <xdr:col>26</xdr:col>
      <xdr:colOff>247375</xdr:colOff>
      <xdr:row>10</xdr:row>
      <xdr:rowOff>749611</xdr:rowOff>
    </xdr:to>
    <xdr:sp macro="" textlink="">
      <xdr:nvSpPr>
        <xdr:cNvPr id="126" name="Chave Direita 125">
          <a:extLst>
            <a:ext uri="{FF2B5EF4-FFF2-40B4-BE49-F238E27FC236}">
              <a16:creationId xmlns:a16="http://schemas.microsoft.com/office/drawing/2014/main" id="{AB1288CC-4B86-2004-4551-57712A46AE71}"/>
            </a:ext>
          </a:extLst>
        </xdr:cNvPr>
        <xdr:cNvSpPr/>
      </xdr:nvSpPr>
      <xdr:spPr>
        <a:xfrm rot="5400000">
          <a:off x="15897777" y="6208262"/>
          <a:ext cx="108000" cy="2119197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20</xdr:col>
      <xdr:colOff>136054</xdr:colOff>
      <xdr:row>10</xdr:row>
      <xdr:rowOff>692132</xdr:rowOff>
    </xdr:from>
    <xdr:ext cx="2276474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5FCB4918-09AF-993F-6E80-BED68774491F}"/>
            </a:ext>
          </a:extLst>
        </xdr:cNvPr>
        <xdr:cNvSpPr txBox="1"/>
      </xdr:nvSpPr>
      <xdr:spPr>
        <a:xfrm>
          <a:off x="15022268" y="7264382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22</xdr:col>
      <xdr:colOff>30537</xdr:colOff>
      <xdr:row>11</xdr:row>
      <xdr:rowOff>595820</xdr:rowOff>
    </xdr:from>
    <xdr:to>
      <xdr:col>28</xdr:col>
      <xdr:colOff>271948</xdr:colOff>
      <xdr:row>11</xdr:row>
      <xdr:rowOff>703820</xdr:rowOff>
    </xdr:to>
    <xdr:sp macro="" textlink="">
      <xdr:nvSpPr>
        <xdr:cNvPr id="128" name="Chave Direita 127">
          <a:extLst>
            <a:ext uri="{FF2B5EF4-FFF2-40B4-BE49-F238E27FC236}">
              <a16:creationId xmlns:a16="http://schemas.microsoft.com/office/drawing/2014/main" id="{51602D17-E830-1952-AC8D-066A5E66DEC1}"/>
            </a:ext>
          </a:extLst>
        </xdr:cNvPr>
        <xdr:cNvSpPr/>
      </xdr:nvSpPr>
      <xdr:spPr>
        <a:xfrm rot="5400000">
          <a:off x="16548279" y="7169400"/>
          <a:ext cx="108000" cy="2119197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22</xdr:col>
      <xdr:colOff>160627</xdr:colOff>
      <xdr:row>11</xdr:row>
      <xdr:rowOff>646341</xdr:rowOff>
    </xdr:from>
    <xdr:ext cx="2276474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9EA760C3-1554-9043-6B86-D5744C70532A}"/>
            </a:ext>
          </a:extLst>
        </xdr:cNvPr>
        <xdr:cNvSpPr txBox="1"/>
      </xdr:nvSpPr>
      <xdr:spPr>
        <a:xfrm>
          <a:off x="15672770" y="8225520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17</xdr:col>
      <xdr:colOff>70052</xdr:colOff>
      <xdr:row>7</xdr:row>
      <xdr:rowOff>554772</xdr:rowOff>
    </xdr:from>
    <xdr:to>
      <xdr:col>24</xdr:col>
      <xdr:colOff>285699</xdr:colOff>
      <xdr:row>7</xdr:row>
      <xdr:rowOff>662772</xdr:rowOff>
    </xdr:to>
    <xdr:sp macro="" textlink="">
      <xdr:nvSpPr>
        <xdr:cNvPr id="130" name="Chave Direita 129">
          <a:extLst>
            <a:ext uri="{FF2B5EF4-FFF2-40B4-BE49-F238E27FC236}">
              <a16:creationId xmlns:a16="http://schemas.microsoft.com/office/drawing/2014/main" id="{60BAED09-4A68-8A4B-B6F2-384BAF891235}"/>
            </a:ext>
          </a:extLst>
        </xdr:cNvPr>
        <xdr:cNvSpPr/>
      </xdr:nvSpPr>
      <xdr:spPr>
        <a:xfrm rot="5400000">
          <a:off x="15162170" y="4624713"/>
          <a:ext cx="108000" cy="2412000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185581</xdr:colOff>
      <xdr:row>7</xdr:row>
      <xdr:rowOff>605293</xdr:rowOff>
    </xdr:from>
    <xdr:ext cx="2276474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B355AF81-E671-A141-BAC5-F04912E9FC73}"/>
            </a:ext>
          </a:extLst>
        </xdr:cNvPr>
        <xdr:cNvSpPr txBox="1"/>
      </xdr:nvSpPr>
      <xdr:spPr>
        <a:xfrm>
          <a:off x="14125699" y="5827234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oneCellAnchor>
    <xdr:from>
      <xdr:col>5</xdr:col>
      <xdr:colOff>37944</xdr:colOff>
      <xdr:row>6</xdr:row>
      <xdr:rowOff>162473</xdr:rowOff>
    </xdr:from>
    <xdr:ext cx="2778735" cy="1470146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2AEBF06F-9920-3124-F850-21684638A3BD}"/>
            </a:ext>
          </a:extLst>
        </xdr:cNvPr>
        <xdr:cNvSpPr txBox="1"/>
      </xdr:nvSpPr>
      <xdr:spPr>
        <a:xfrm>
          <a:off x="10212885" y="4499149"/>
          <a:ext cx="2778735" cy="14701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1 - GDMC - Order to Fatory</a:t>
          </a:r>
        </a:p>
        <a:p>
          <a:r>
            <a:rPr lang="pt-BR" sz="1100" b="0">
              <a:solidFill>
                <a:sysClr val="windowText" lastClr="000000"/>
              </a:solidFill>
            </a:rPr>
            <a:t>- GDMC start to provide list of requested vehicles. </a:t>
          </a:r>
        </a:p>
        <a:p>
          <a:endParaRPr lang="pt-BR" sz="1100" b="1">
            <a:solidFill>
              <a:srgbClr val="FF0000"/>
            </a:solidFill>
          </a:endParaRPr>
        </a:p>
        <a:p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GDMC - Status &amp; PDI </a:t>
          </a:r>
          <a:r>
            <a:rPr lang="pt-BR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(Under</a:t>
          </a:r>
          <a:r>
            <a:rPr lang="pt-BR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analisys)</a:t>
          </a:r>
          <a:endParaRPr lang="pt-BR" sz="1100" b="1" i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ysClr val="windowText" lastClr="000000"/>
              </a:solidFill>
            </a:rPr>
            <a:t>- GDMC integrate with fatcory system to provide</a:t>
          </a:r>
          <a:r>
            <a:rPr lang="pt-BR" sz="1100" b="0" baseline="0">
              <a:solidFill>
                <a:sysClr val="windowText" lastClr="000000"/>
              </a:solidFill>
            </a:rPr>
            <a:t> the factory status.</a:t>
          </a:r>
          <a:endParaRPr lang="pt-BR" sz="1100" b="0">
            <a:solidFill>
              <a:sysClr val="windowText" lastClr="000000"/>
            </a:solidFill>
          </a:endParaRPr>
        </a:p>
        <a:p>
          <a:r>
            <a:rPr lang="pt-BR" sz="1100" b="0">
              <a:solidFill>
                <a:sysClr val="windowText" lastClr="000000"/>
              </a:solidFill>
            </a:rPr>
            <a:t>- GDMC PDI</a:t>
          </a:r>
          <a:r>
            <a:rPr lang="pt-BR" sz="1100" b="0" baseline="0">
              <a:solidFill>
                <a:sysClr val="windowText" lastClr="000000"/>
              </a:solidFill>
            </a:rPr>
            <a:t> must be integrate with Gabardo.</a:t>
          </a:r>
          <a:endParaRPr lang="pt-BR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3549947</xdr:colOff>
      <xdr:row>11</xdr:row>
      <xdr:rowOff>238347</xdr:rowOff>
    </xdr:from>
    <xdr:ext cx="2800507" cy="436786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2C10C5B3-8BD8-31A2-A496-B8F21D1F92E1}"/>
            </a:ext>
          </a:extLst>
        </xdr:cNvPr>
        <xdr:cNvSpPr txBox="1"/>
      </xdr:nvSpPr>
      <xdr:spPr>
        <a:xfrm>
          <a:off x="10190233" y="7817526"/>
          <a:ext cx="2800507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GDMC x VAAS</a:t>
          </a:r>
        </a:p>
        <a:p>
          <a:r>
            <a:rPr lang="pt-BR" sz="1100" b="0">
              <a:solidFill>
                <a:sysClr val="windowText" lastClr="000000"/>
              </a:solidFill>
            </a:rPr>
            <a:t>- Send Sales to COAF (Legal</a:t>
          </a:r>
          <a:r>
            <a:rPr lang="pt-BR" sz="1100" b="0" baseline="0">
              <a:solidFill>
                <a:sysClr val="windowText" lastClr="000000"/>
              </a:solidFill>
            </a:rPr>
            <a:t> Requirement)</a:t>
          </a:r>
          <a:endParaRPr lang="pt-BR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3549947</xdr:colOff>
      <xdr:row>10</xdr:row>
      <xdr:rowOff>134762</xdr:rowOff>
    </xdr:from>
    <xdr:ext cx="2822278" cy="78124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0AA863CE-517D-19A1-FF38-1E445F3715BC}"/>
            </a:ext>
          </a:extLst>
        </xdr:cNvPr>
        <xdr:cNvSpPr txBox="1"/>
      </xdr:nvSpPr>
      <xdr:spPr>
        <a:xfrm>
          <a:off x="10190233" y="6707012"/>
          <a:ext cx="2822278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Symbolic Tranfer</a:t>
          </a:r>
        </a:p>
        <a:p>
          <a:r>
            <a:rPr lang="pt-BR" sz="1100" b="0">
              <a:solidFill>
                <a:sysClr val="windowText" lastClr="000000"/>
              </a:solidFill>
            </a:rPr>
            <a:t>- Recovery 78MI from ES State.</a:t>
          </a:r>
        </a:p>
        <a:p>
          <a:r>
            <a:rPr lang="pt-BR" sz="1100" b="0">
              <a:solidFill>
                <a:sysClr val="windowText" lastClr="000000"/>
              </a:solidFill>
            </a:rPr>
            <a:t>-</a:t>
          </a:r>
          <a:r>
            <a:rPr lang="pt-BR" sz="1100" b="0" baseline="0">
              <a:solidFill>
                <a:sysClr val="windowText" lastClr="000000"/>
              </a:solidFill>
            </a:rPr>
            <a:t> Perform the sales by ES states, even, phisically, the car is other state</a:t>
          </a:r>
          <a:r>
            <a:rPr lang="pt-BR" sz="1100" b="0">
              <a:solidFill>
                <a:sysClr val="windowText" lastClr="000000"/>
              </a:solidFill>
            </a:rPr>
            <a:t>. </a:t>
          </a:r>
          <a:endParaRPr lang="pt-BR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28</xdr:col>
      <xdr:colOff>8066</xdr:colOff>
      <xdr:row>12</xdr:row>
      <xdr:rowOff>182982</xdr:rowOff>
    </xdr:from>
    <xdr:to>
      <xdr:col>32</xdr:col>
      <xdr:colOff>13008</xdr:colOff>
      <xdr:row>12</xdr:row>
      <xdr:rowOff>546446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83140C27-72D0-34A4-0AB4-B2A046DCF1A9}"/>
            </a:ext>
          </a:extLst>
        </xdr:cNvPr>
        <xdr:cNvSpPr/>
      </xdr:nvSpPr>
      <xdr:spPr>
        <a:xfrm>
          <a:off x="17399595" y="11041482"/>
          <a:ext cx="1260001" cy="36346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Support new trade company</a:t>
          </a:r>
        </a:p>
      </xdr:txBody>
    </xdr:sp>
    <xdr:clientData/>
  </xdr:twoCellAnchor>
  <xdr:twoCellAnchor>
    <xdr:from>
      <xdr:col>28</xdr:col>
      <xdr:colOff>22101</xdr:colOff>
      <xdr:row>12</xdr:row>
      <xdr:rowOff>561021</xdr:rowOff>
    </xdr:from>
    <xdr:to>
      <xdr:col>30</xdr:col>
      <xdr:colOff>1081</xdr:colOff>
      <xdr:row>12</xdr:row>
      <xdr:rowOff>708485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59D4B50B-DC95-796B-259F-D35917B0649C}"/>
            </a:ext>
          </a:extLst>
        </xdr:cNvPr>
        <xdr:cNvSpPr/>
      </xdr:nvSpPr>
      <xdr:spPr>
        <a:xfrm>
          <a:off x="17413630" y="11419521"/>
          <a:ext cx="606510" cy="1474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30</xdr:col>
      <xdr:colOff>22326</xdr:colOff>
      <xdr:row>12</xdr:row>
      <xdr:rowOff>561021</xdr:rowOff>
    </xdr:from>
    <xdr:to>
      <xdr:col>32</xdr:col>
      <xdr:colOff>1531</xdr:colOff>
      <xdr:row>12</xdr:row>
      <xdr:rowOff>708485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26838E86-6C93-32D6-5B0D-C0DDCAE5FC69}"/>
            </a:ext>
          </a:extLst>
        </xdr:cNvPr>
        <xdr:cNvSpPr/>
      </xdr:nvSpPr>
      <xdr:spPr>
        <a:xfrm>
          <a:off x="18041385" y="11419521"/>
          <a:ext cx="606734" cy="1474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oneCellAnchor>
    <xdr:from>
      <xdr:col>4</xdr:col>
      <xdr:colOff>3549947</xdr:colOff>
      <xdr:row>12</xdr:row>
      <xdr:rowOff>82121</xdr:rowOff>
    </xdr:from>
    <xdr:ext cx="2711822" cy="78124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2AEC5FF1-A0F9-DE80-9C07-6B30F62FD85F}"/>
            </a:ext>
          </a:extLst>
        </xdr:cNvPr>
        <xdr:cNvSpPr txBox="1"/>
      </xdr:nvSpPr>
      <xdr:spPr>
        <a:xfrm>
          <a:off x="10172623" y="10940621"/>
          <a:ext cx="2711822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Logistic - Replace Trade  CIA</a:t>
          </a:r>
        </a:p>
        <a:p>
          <a:r>
            <a:rPr lang="pt-BR" sz="1100" b="0">
              <a:solidFill>
                <a:sysClr val="windowText" lastClr="000000"/>
              </a:solidFill>
            </a:rPr>
            <a:t>- New Cia will</a:t>
          </a:r>
          <a:r>
            <a:rPr lang="pt-BR" sz="1100" b="0" baseline="0">
              <a:solidFill>
                <a:sysClr val="windowText" lastClr="000000"/>
              </a:solidFill>
            </a:rPr>
            <a:t> be addapt their system to use GWM developed APIs.</a:t>
          </a:r>
        </a:p>
        <a:p>
          <a:r>
            <a:rPr lang="pt-BR" sz="1100" b="0" baseline="0">
              <a:solidFill>
                <a:sysClr val="windowText" lastClr="000000"/>
              </a:solidFill>
            </a:rPr>
            <a:t>- Only Test support cover in this schedule</a:t>
          </a:r>
          <a:endParaRPr lang="pt-BR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269396</xdr:colOff>
      <xdr:row>14</xdr:row>
      <xdr:rowOff>335720</xdr:rowOff>
    </xdr:from>
    <xdr:ext cx="3513142" cy="609013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75690372-2624-3416-2600-9871893F16B1}"/>
            </a:ext>
          </a:extLst>
        </xdr:cNvPr>
        <xdr:cNvSpPr txBox="1"/>
      </xdr:nvSpPr>
      <xdr:spPr>
        <a:xfrm>
          <a:off x="16094503" y="12663791"/>
          <a:ext cx="3513142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TAX Reform </a:t>
          </a:r>
        </a:p>
        <a:p>
          <a:r>
            <a:rPr lang="pt-BR" sz="1100" b="0">
              <a:solidFill>
                <a:sysClr val="windowText" lastClr="000000"/>
              </a:solidFill>
            </a:rPr>
            <a:t>- Mandatory legal requirement.</a:t>
          </a:r>
        </a:p>
        <a:p>
          <a:r>
            <a:rPr lang="pt-BR" sz="1100" b="0">
              <a:solidFill>
                <a:sysClr val="windowText" lastClr="000000"/>
              </a:solidFill>
            </a:rPr>
            <a:t>-</a:t>
          </a:r>
          <a:r>
            <a:rPr lang="pt-BR" sz="1100" b="0" baseline="0">
              <a:solidFill>
                <a:sysClr val="windowText" lastClr="000000"/>
              </a:solidFill>
            </a:rPr>
            <a:t> in 2026 this is mandatory to sales cars and parts.</a:t>
          </a:r>
          <a:endParaRPr lang="pt-BR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22412</xdr:colOff>
      <xdr:row>87</xdr:row>
      <xdr:rowOff>2772120</xdr:rowOff>
    </xdr:from>
    <xdr:to>
      <xdr:col>16</xdr:col>
      <xdr:colOff>294883</xdr:colOff>
      <xdr:row>87</xdr:row>
      <xdr:rowOff>2916120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78BDEEF5-63A0-A007-14B1-A3A6B7B6E14B}"/>
            </a:ext>
          </a:extLst>
        </xdr:cNvPr>
        <xdr:cNvSpPr/>
      </xdr:nvSpPr>
      <xdr:spPr>
        <a:xfrm>
          <a:off x="12236824" y="21945385"/>
          <a:ext cx="900000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16</xdr:col>
      <xdr:colOff>309525</xdr:colOff>
      <xdr:row>87</xdr:row>
      <xdr:rowOff>2766183</xdr:rowOff>
    </xdr:from>
    <xdr:to>
      <xdr:col>21</xdr:col>
      <xdr:colOff>45</xdr:colOff>
      <xdr:row>87</xdr:row>
      <xdr:rowOff>2908278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36035F5A-D75F-5F0C-EF1B-8E2F85BEBEA4}"/>
            </a:ext>
          </a:extLst>
        </xdr:cNvPr>
        <xdr:cNvSpPr/>
      </xdr:nvSpPr>
      <xdr:spPr>
        <a:xfrm>
          <a:off x="13151466" y="21939448"/>
          <a:ext cx="1259344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21</xdr:col>
      <xdr:colOff>22551</xdr:colOff>
      <xdr:row>87</xdr:row>
      <xdr:rowOff>2766183</xdr:rowOff>
    </xdr:from>
    <xdr:to>
      <xdr:col>23</xdr:col>
      <xdr:colOff>22183</xdr:colOff>
      <xdr:row>87</xdr:row>
      <xdr:rowOff>2908278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85138FC0-5721-72DF-18B9-592D9641BACB}"/>
            </a:ext>
          </a:extLst>
        </xdr:cNvPr>
        <xdr:cNvSpPr/>
      </xdr:nvSpPr>
      <xdr:spPr>
        <a:xfrm>
          <a:off x="14433316" y="21939448"/>
          <a:ext cx="627161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23</xdr:col>
      <xdr:colOff>51749</xdr:colOff>
      <xdr:row>87</xdr:row>
      <xdr:rowOff>2766183</xdr:rowOff>
    </xdr:from>
    <xdr:to>
      <xdr:col>25</xdr:col>
      <xdr:colOff>36219</xdr:colOff>
      <xdr:row>87</xdr:row>
      <xdr:rowOff>2908278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990604EB-4E2C-742F-B145-C1F73A718DCD}"/>
            </a:ext>
          </a:extLst>
        </xdr:cNvPr>
        <xdr:cNvSpPr/>
      </xdr:nvSpPr>
      <xdr:spPr>
        <a:xfrm>
          <a:off x="15090043" y="21939448"/>
          <a:ext cx="612000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16</xdr:col>
      <xdr:colOff>22415</xdr:colOff>
      <xdr:row>87</xdr:row>
      <xdr:rowOff>3933049</xdr:rowOff>
    </xdr:from>
    <xdr:to>
      <xdr:col>18</xdr:col>
      <xdr:colOff>267850</xdr:colOff>
      <xdr:row>87</xdr:row>
      <xdr:rowOff>4077049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8EEEA535-6846-488C-91B1-ECA6B2B40417}"/>
            </a:ext>
          </a:extLst>
        </xdr:cNvPr>
        <xdr:cNvSpPr/>
      </xdr:nvSpPr>
      <xdr:spPr>
        <a:xfrm>
          <a:off x="12510250" y="29392814"/>
          <a:ext cx="890894" cy="144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18</xdr:col>
      <xdr:colOff>282632</xdr:colOff>
      <xdr:row>87</xdr:row>
      <xdr:rowOff>3938318</xdr:rowOff>
    </xdr:from>
    <xdr:to>
      <xdr:col>22</xdr:col>
      <xdr:colOff>286917</xdr:colOff>
      <xdr:row>87</xdr:row>
      <xdr:rowOff>4080413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855036DD-B983-4BEA-886C-6D0773DDE1B8}"/>
            </a:ext>
          </a:extLst>
        </xdr:cNvPr>
        <xdr:cNvSpPr/>
      </xdr:nvSpPr>
      <xdr:spPr>
        <a:xfrm>
          <a:off x="13415926" y="29398083"/>
          <a:ext cx="1295203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22</xdr:col>
      <xdr:colOff>309423</xdr:colOff>
      <xdr:row>87</xdr:row>
      <xdr:rowOff>3938318</xdr:rowOff>
    </xdr:from>
    <xdr:to>
      <xdr:col>24</xdr:col>
      <xdr:colOff>309055</xdr:colOff>
      <xdr:row>87</xdr:row>
      <xdr:rowOff>4080413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588F2A61-FE6A-4687-B659-CDF516012D37}"/>
            </a:ext>
          </a:extLst>
        </xdr:cNvPr>
        <xdr:cNvSpPr/>
      </xdr:nvSpPr>
      <xdr:spPr>
        <a:xfrm>
          <a:off x="14733635" y="29398083"/>
          <a:ext cx="645091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25</xdr:col>
      <xdr:colOff>24856</xdr:colOff>
      <xdr:row>87</xdr:row>
      <xdr:rowOff>3938318</xdr:rowOff>
    </xdr:from>
    <xdr:to>
      <xdr:col>27</xdr:col>
      <xdr:colOff>9326</xdr:colOff>
      <xdr:row>87</xdr:row>
      <xdr:rowOff>4080413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6ED93668-A6D9-495A-9331-8E16F3740173}"/>
            </a:ext>
          </a:extLst>
        </xdr:cNvPr>
        <xdr:cNvSpPr/>
      </xdr:nvSpPr>
      <xdr:spPr>
        <a:xfrm>
          <a:off x="15417256" y="29398083"/>
          <a:ext cx="629929" cy="14209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 editAs="oneCell">
    <xdr:from>
      <xdr:col>32</xdr:col>
      <xdr:colOff>255173</xdr:colOff>
      <xdr:row>6</xdr:row>
      <xdr:rowOff>618321</xdr:rowOff>
    </xdr:from>
    <xdr:to>
      <xdr:col>43</xdr:col>
      <xdr:colOff>5954</xdr:colOff>
      <xdr:row>7</xdr:row>
      <xdr:rowOff>614632</xdr:rowOff>
    </xdr:to>
    <xdr:pic>
      <xdr:nvPicPr>
        <xdr:cNvPr id="188" name="Imagem 187">
          <a:extLst>
            <a:ext uri="{FF2B5EF4-FFF2-40B4-BE49-F238E27FC236}">
              <a16:creationId xmlns:a16="http://schemas.microsoft.com/office/drawing/2014/main" id="{012D2C50-10E0-B11E-BE88-3DDCD8A8D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6959" y="4945392"/>
          <a:ext cx="3193388" cy="880776"/>
        </a:xfrm>
        <a:prstGeom prst="rect">
          <a:avLst/>
        </a:prstGeom>
      </xdr:spPr>
    </xdr:pic>
    <xdr:clientData/>
  </xdr:twoCellAnchor>
  <xdr:twoCellAnchor>
    <xdr:from>
      <xdr:col>26</xdr:col>
      <xdr:colOff>39585</xdr:colOff>
      <xdr:row>7</xdr:row>
      <xdr:rowOff>161402</xdr:rowOff>
    </xdr:from>
    <xdr:to>
      <xdr:col>26</xdr:col>
      <xdr:colOff>227651</xdr:colOff>
      <xdr:row>7</xdr:row>
      <xdr:rowOff>353205</xdr:rowOff>
    </xdr:to>
    <xdr:sp macro="" textlink="">
      <xdr:nvSpPr>
        <xdr:cNvPr id="189" name="Isosceles Triangle 27">
          <a:extLst>
            <a:ext uri="{FF2B5EF4-FFF2-40B4-BE49-F238E27FC236}">
              <a16:creationId xmlns:a16="http://schemas.microsoft.com/office/drawing/2014/main" id="{6792FF96-F4C3-E22F-18BA-B3D27C8D1394}"/>
            </a:ext>
          </a:extLst>
        </xdr:cNvPr>
        <xdr:cNvSpPr/>
      </xdr:nvSpPr>
      <xdr:spPr>
        <a:xfrm rot="10800000">
          <a:off x="16803585" y="5383343"/>
          <a:ext cx="188066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57998</xdr:colOff>
      <xdr:row>6</xdr:row>
      <xdr:rowOff>286911</xdr:rowOff>
    </xdr:from>
    <xdr:to>
      <xdr:col>22</xdr:col>
      <xdr:colOff>246064</xdr:colOff>
      <xdr:row>6</xdr:row>
      <xdr:rowOff>488239</xdr:rowOff>
    </xdr:to>
    <xdr:sp macro="" textlink="">
      <xdr:nvSpPr>
        <xdr:cNvPr id="190" name="Isosceles Triangle 27">
          <a:extLst>
            <a:ext uri="{FF2B5EF4-FFF2-40B4-BE49-F238E27FC236}">
              <a16:creationId xmlns:a16="http://schemas.microsoft.com/office/drawing/2014/main" id="{B3214769-4392-72C7-7D3D-BA518714B852}"/>
            </a:ext>
          </a:extLst>
        </xdr:cNvPr>
        <xdr:cNvSpPr/>
      </xdr:nvSpPr>
      <xdr:spPr>
        <a:xfrm rot="10800000">
          <a:off x="15566939" y="4623587"/>
          <a:ext cx="188066" cy="201328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55452</xdr:colOff>
      <xdr:row>11</xdr:row>
      <xdr:rowOff>191240</xdr:rowOff>
    </xdr:from>
    <xdr:to>
      <xdr:col>29</xdr:col>
      <xdr:colOff>243518</xdr:colOff>
      <xdr:row>11</xdr:row>
      <xdr:rowOff>383043</xdr:rowOff>
    </xdr:to>
    <xdr:sp macro="" textlink="">
      <xdr:nvSpPr>
        <xdr:cNvPr id="191" name="Isosceles Triangle 27">
          <a:extLst>
            <a:ext uri="{FF2B5EF4-FFF2-40B4-BE49-F238E27FC236}">
              <a16:creationId xmlns:a16="http://schemas.microsoft.com/office/drawing/2014/main" id="{87F1F247-D5F9-0677-3859-BE6840347F74}"/>
            </a:ext>
          </a:extLst>
        </xdr:cNvPr>
        <xdr:cNvSpPr/>
      </xdr:nvSpPr>
      <xdr:spPr>
        <a:xfrm rot="10800000">
          <a:off x="17758345" y="7770419"/>
          <a:ext cx="188066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59693</xdr:colOff>
      <xdr:row>10</xdr:row>
      <xdr:rowOff>259441</xdr:rowOff>
    </xdr:from>
    <xdr:to>
      <xdr:col>29</xdr:col>
      <xdr:colOff>247759</xdr:colOff>
      <xdr:row>10</xdr:row>
      <xdr:rowOff>451244</xdr:rowOff>
    </xdr:to>
    <xdr:sp macro="" textlink="">
      <xdr:nvSpPr>
        <xdr:cNvPr id="193" name="Isosceles Triangle 27">
          <a:extLst>
            <a:ext uri="{FF2B5EF4-FFF2-40B4-BE49-F238E27FC236}">
              <a16:creationId xmlns:a16="http://schemas.microsoft.com/office/drawing/2014/main" id="{45EDECB9-765F-5068-5973-A17E76844AB7}"/>
            </a:ext>
          </a:extLst>
        </xdr:cNvPr>
        <xdr:cNvSpPr/>
      </xdr:nvSpPr>
      <xdr:spPr>
        <a:xfrm rot="10800000">
          <a:off x="17764987" y="9100882"/>
          <a:ext cx="188066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7427</xdr:colOff>
      <xdr:row>69</xdr:row>
      <xdr:rowOff>772584</xdr:rowOff>
    </xdr:from>
    <xdr:to>
      <xdr:col>31</xdr:col>
      <xdr:colOff>1</xdr:colOff>
      <xdr:row>70</xdr:row>
      <xdr:rowOff>197978</xdr:rowOff>
    </xdr:to>
    <xdr:sp macro="" textlink="">
      <xdr:nvSpPr>
        <xdr:cNvPr id="319" name="Retângulo 208">
          <a:extLst>
            <a:ext uri="{FF2B5EF4-FFF2-40B4-BE49-F238E27FC236}">
              <a16:creationId xmlns:a16="http://schemas.microsoft.com/office/drawing/2014/main" id="{C680A530-1DC2-473A-9EDE-9F0CA95F0464}"/>
            </a:ext>
          </a:extLst>
        </xdr:cNvPr>
        <xdr:cNvSpPr/>
      </xdr:nvSpPr>
      <xdr:spPr>
        <a:xfrm>
          <a:off x="14421927" y="28977167"/>
          <a:ext cx="5072574" cy="2826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- WRITER'S </a:t>
          </a: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Whole Sales</a:t>
          </a: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16</xdr:col>
      <xdr:colOff>3508</xdr:colOff>
      <xdr:row>70</xdr:row>
      <xdr:rowOff>201422</xdr:rowOff>
    </xdr:from>
    <xdr:to>
      <xdr:col>18</xdr:col>
      <xdr:colOff>270264</xdr:colOff>
      <xdr:row>70</xdr:row>
      <xdr:rowOff>424622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629D55DE-2476-4AB3-876B-022B7709E847}"/>
            </a:ext>
          </a:extLst>
        </xdr:cNvPr>
        <xdr:cNvSpPr/>
      </xdr:nvSpPr>
      <xdr:spPr>
        <a:xfrm>
          <a:off x="12694437" y="20893351"/>
          <a:ext cx="919898" cy="2232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18</xdr:col>
      <xdr:colOff>307966</xdr:colOff>
      <xdr:row>70</xdr:row>
      <xdr:rowOff>197908</xdr:rowOff>
    </xdr:from>
    <xdr:to>
      <xdr:col>23</xdr:col>
      <xdr:colOff>306916</xdr:colOff>
      <xdr:row>70</xdr:row>
      <xdr:rowOff>444500</xdr:rowOff>
    </xdr:to>
    <xdr:sp macro="" textlink="">
      <xdr:nvSpPr>
        <xdr:cNvPr id="275" name="Retângulo 210">
          <a:extLst>
            <a:ext uri="{FF2B5EF4-FFF2-40B4-BE49-F238E27FC236}">
              <a16:creationId xmlns:a16="http://schemas.microsoft.com/office/drawing/2014/main" id="{53ACBD60-7530-4434-B823-EBAA891E4E59}"/>
            </a:ext>
          </a:extLst>
        </xdr:cNvPr>
        <xdr:cNvSpPr/>
      </xdr:nvSpPr>
      <xdr:spPr>
        <a:xfrm>
          <a:off x="15399799" y="29259741"/>
          <a:ext cx="1692284" cy="246592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23</xdr:col>
      <xdr:colOff>316016</xdr:colOff>
      <xdr:row>70</xdr:row>
      <xdr:rowOff>199304</xdr:rowOff>
    </xdr:from>
    <xdr:to>
      <xdr:col>27</xdr:col>
      <xdr:colOff>293350</xdr:colOff>
      <xdr:row>70</xdr:row>
      <xdr:rowOff>451304</xdr:rowOff>
    </xdr:to>
    <xdr:sp macro="" textlink="">
      <xdr:nvSpPr>
        <xdr:cNvPr id="309" name="Retângulo 211">
          <a:extLst>
            <a:ext uri="{FF2B5EF4-FFF2-40B4-BE49-F238E27FC236}">
              <a16:creationId xmlns:a16="http://schemas.microsoft.com/office/drawing/2014/main" id="{C8163E93-E2F1-4FCA-B998-697D135E1524}"/>
            </a:ext>
          </a:extLst>
        </xdr:cNvPr>
        <xdr:cNvSpPr/>
      </xdr:nvSpPr>
      <xdr:spPr>
        <a:xfrm>
          <a:off x="17101183" y="29261137"/>
          <a:ext cx="1332000" cy="25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27</xdr:col>
      <xdr:colOff>313169</xdr:colOff>
      <xdr:row>70</xdr:row>
      <xdr:rowOff>201422</xdr:rowOff>
    </xdr:from>
    <xdr:to>
      <xdr:col>30</xdr:col>
      <xdr:colOff>306917</xdr:colOff>
      <xdr:row>70</xdr:row>
      <xdr:rowOff>444500</xdr:rowOff>
    </xdr:to>
    <xdr:sp macro="" textlink="">
      <xdr:nvSpPr>
        <xdr:cNvPr id="311" name="Retângulo 212">
          <a:extLst>
            <a:ext uri="{FF2B5EF4-FFF2-40B4-BE49-F238E27FC236}">
              <a16:creationId xmlns:a16="http://schemas.microsoft.com/office/drawing/2014/main" id="{27F65311-6A57-4FBC-A353-D961C618075D}"/>
            </a:ext>
          </a:extLst>
        </xdr:cNvPr>
        <xdr:cNvSpPr/>
      </xdr:nvSpPr>
      <xdr:spPr>
        <a:xfrm>
          <a:off x="18453002" y="29263255"/>
          <a:ext cx="1009748" cy="24307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20</xdr:col>
      <xdr:colOff>323348</xdr:colOff>
      <xdr:row>70</xdr:row>
      <xdr:rowOff>987880</xdr:rowOff>
    </xdr:from>
    <xdr:to>
      <xdr:col>32</xdr:col>
      <xdr:colOff>18651</xdr:colOff>
      <xdr:row>70</xdr:row>
      <xdr:rowOff>1255718</xdr:rowOff>
    </xdr:to>
    <xdr:sp macro="" textlink="">
      <xdr:nvSpPr>
        <xdr:cNvPr id="320" name="Retângulo 215">
          <a:extLst>
            <a:ext uri="{FF2B5EF4-FFF2-40B4-BE49-F238E27FC236}">
              <a16:creationId xmlns:a16="http://schemas.microsoft.com/office/drawing/2014/main" id="{1CC4BA2E-A4DB-40F4-97F9-266D7C60CE14}"/>
            </a:ext>
          </a:extLst>
        </xdr:cNvPr>
        <xdr:cNvSpPr/>
      </xdr:nvSpPr>
      <xdr:spPr>
        <a:xfrm>
          <a:off x="16092515" y="30049713"/>
          <a:ext cx="3759303" cy="2678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</a:t>
          </a: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WRITER'S - </a:t>
          </a: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Stock Transposition</a:t>
          </a:r>
        </a:p>
      </xdr:txBody>
    </xdr:sp>
    <xdr:clientData/>
  </xdr:twoCellAnchor>
  <xdr:twoCellAnchor>
    <xdr:from>
      <xdr:col>20</xdr:col>
      <xdr:colOff>337210</xdr:colOff>
      <xdr:row>70</xdr:row>
      <xdr:rowOff>1246958</xdr:rowOff>
    </xdr:from>
    <xdr:to>
      <xdr:col>23</xdr:col>
      <xdr:colOff>282616</xdr:colOff>
      <xdr:row>70</xdr:row>
      <xdr:rowOff>1466133</xdr:rowOff>
    </xdr:to>
    <xdr:sp macro="" textlink="">
      <xdr:nvSpPr>
        <xdr:cNvPr id="321" name="Retângulo 216">
          <a:extLst>
            <a:ext uri="{FF2B5EF4-FFF2-40B4-BE49-F238E27FC236}">
              <a16:creationId xmlns:a16="http://schemas.microsoft.com/office/drawing/2014/main" id="{671BD0A1-0D5D-4A31-90DA-2E16599AA048}"/>
            </a:ext>
          </a:extLst>
        </xdr:cNvPr>
        <xdr:cNvSpPr/>
      </xdr:nvSpPr>
      <xdr:spPr>
        <a:xfrm>
          <a:off x="16106377" y="30308791"/>
          <a:ext cx="961406" cy="2191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23</xdr:col>
      <xdr:colOff>322823</xdr:colOff>
      <xdr:row>70</xdr:row>
      <xdr:rowOff>1246958</xdr:rowOff>
    </xdr:from>
    <xdr:to>
      <xdr:col>27</xdr:col>
      <xdr:colOff>289894</xdr:colOff>
      <xdr:row>70</xdr:row>
      <xdr:rowOff>1466133</xdr:rowOff>
    </xdr:to>
    <xdr:sp macro="" textlink="">
      <xdr:nvSpPr>
        <xdr:cNvPr id="322" name="Retângulo 217">
          <a:extLst>
            <a:ext uri="{FF2B5EF4-FFF2-40B4-BE49-F238E27FC236}">
              <a16:creationId xmlns:a16="http://schemas.microsoft.com/office/drawing/2014/main" id="{190221BC-AB87-4733-8324-6C1E0EE8EB67}"/>
            </a:ext>
          </a:extLst>
        </xdr:cNvPr>
        <xdr:cNvSpPr/>
      </xdr:nvSpPr>
      <xdr:spPr>
        <a:xfrm>
          <a:off x="17107990" y="30308791"/>
          <a:ext cx="1321737" cy="2191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27</xdr:col>
      <xdr:colOff>313939</xdr:colOff>
      <xdr:row>70</xdr:row>
      <xdr:rowOff>1264514</xdr:rowOff>
    </xdr:from>
    <xdr:to>
      <xdr:col>29</xdr:col>
      <xdr:colOff>280889</xdr:colOff>
      <xdr:row>70</xdr:row>
      <xdr:rowOff>1483689</xdr:rowOff>
    </xdr:to>
    <xdr:sp macro="" textlink="">
      <xdr:nvSpPr>
        <xdr:cNvPr id="323" name="Retângulo 218">
          <a:extLst>
            <a:ext uri="{FF2B5EF4-FFF2-40B4-BE49-F238E27FC236}">
              <a16:creationId xmlns:a16="http://schemas.microsoft.com/office/drawing/2014/main" id="{244862EB-F340-418A-B062-34E2D334E792}"/>
            </a:ext>
          </a:extLst>
        </xdr:cNvPr>
        <xdr:cNvSpPr/>
      </xdr:nvSpPr>
      <xdr:spPr>
        <a:xfrm>
          <a:off x="18453772" y="30326347"/>
          <a:ext cx="644284" cy="2191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30</xdr:col>
      <xdr:colOff>23891</xdr:colOff>
      <xdr:row>70</xdr:row>
      <xdr:rowOff>1246957</xdr:rowOff>
    </xdr:from>
    <xdr:to>
      <xdr:col>31</xdr:col>
      <xdr:colOff>337147</xdr:colOff>
      <xdr:row>70</xdr:row>
      <xdr:rowOff>1466132</xdr:rowOff>
    </xdr:to>
    <xdr:sp macro="" textlink="">
      <xdr:nvSpPr>
        <xdr:cNvPr id="324" name="Retângulo 219">
          <a:extLst>
            <a:ext uri="{FF2B5EF4-FFF2-40B4-BE49-F238E27FC236}">
              <a16:creationId xmlns:a16="http://schemas.microsoft.com/office/drawing/2014/main" id="{106CFAA0-214F-42B8-8EDD-29146A18523E}"/>
            </a:ext>
          </a:extLst>
        </xdr:cNvPr>
        <xdr:cNvSpPr/>
      </xdr:nvSpPr>
      <xdr:spPr>
        <a:xfrm>
          <a:off x="19179724" y="30308790"/>
          <a:ext cx="651923" cy="2191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oneCellAnchor>
    <xdr:from>
      <xdr:col>5</xdr:col>
      <xdr:colOff>47976</xdr:colOff>
      <xdr:row>69</xdr:row>
      <xdr:rowOff>671994</xdr:rowOff>
    </xdr:from>
    <xdr:ext cx="1856598" cy="609013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5DF4D5B4-FE2E-4819-A946-A62FC2E33938}"/>
            </a:ext>
          </a:extLst>
        </xdr:cNvPr>
        <xdr:cNvSpPr txBox="1"/>
      </xdr:nvSpPr>
      <xdr:spPr>
        <a:xfrm>
          <a:off x="8985147" y="20723480"/>
          <a:ext cx="1856598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SAP Resources </a:t>
          </a:r>
        </a:p>
        <a:p>
          <a:r>
            <a:rPr lang="pt-BR" sz="1100"/>
            <a:t>- </a:t>
          </a:r>
          <a:r>
            <a:rPr lang="pt-BR" sz="1100" b="1"/>
            <a:t>Dev: </a:t>
          </a:r>
          <a:r>
            <a:rPr lang="pt-BR" sz="1100"/>
            <a:t>Marilia /Antônio(AMS)</a:t>
          </a:r>
          <a:endParaRPr lang="pt-BR" sz="1100" baseline="0"/>
        </a:p>
        <a:p>
          <a:r>
            <a:rPr lang="pt-BR" sz="1100" baseline="0"/>
            <a:t>- </a:t>
          </a:r>
          <a:r>
            <a:rPr lang="pt-BR" sz="1100" b="1" baseline="0"/>
            <a:t>GWM:</a:t>
          </a:r>
          <a:r>
            <a:rPr lang="pt-BR" sz="1100" baseline="0"/>
            <a:t> Marcela</a:t>
          </a:r>
          <a:endParaRPr lang="pt-BR" sz="1100" i="1"/>
        </a:p>
      </xdr:txBody>
    </xdr:sp>
    <xdr:clientData/>
  </xdr:oneCellAnchor>
  <xdr:oneCellAnchor>
    <xdr:from>
      <xdr:col>5</xdr:col>
      <xdr:colOff>47976</xdr:colOff>
      <xdr:row>70</xdr:row>
      <xdr:rowOff>950337</xdr:rowOff>
    </xdr:from>
    <xdr:ext cx="1900072" cy="609013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45BD7ED5-FD82-9FE9-2C5D-F13CD4A6D05C}"/>
            </a:ext>
          </a:extLst>
        </xdr:cNvPr>
        <xdr:cNvSpPr txBox="1"/>
      </xdr:nvSpPr>
      <xdr:spPr>
        <a:xfrm>
          <a:off x="9146619" y="21642266"/>
          <a:ext cx="1900072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SAP Resources </a:t>
          </a:r>
        </a:p>
        <a:p>
          <a:r>
            <a:rPr lang="pt-BR" sz="1100"/>
            <a:t>- </a:t>
          </a:r>
          <a:r>
            <a:rPr lang="pt-BR" sz="1100" b="1"/>
            <a:t>Dev: </a:t>
          </a:r>
          <a:r>
            <a:rPr lang="pt-BR" sz="1100"/>
            <a:t>Cleber/Claudinei (AMS)</a:t>
          </a:r>
          <a:endParaRPr lang="pt-BR" sz="1100" baseline="0"/>
        </a:p>
        <a:p>
          <a:r>
            <a:rPr lang="pt-BR" sz="1100" baseline="0"/>
            <a:t>- </a:t>
          </a:r>
          <a:r>
            <a:rPr lang="pt-BR" sz="1100" b="1" baseline="0"/>
            <a:t>GWM:</a:t>
          </a:r>
          <a:r>
            <a:rPr lang="pt-BR" sz="1100" baseline="0"/>
            <a:t> Marcela</a:t>
          </a:r>
          <a:endParaRPr lang="pt-BR" sz="1100" i="1"/>
        </a:p>
      </xdr:txBody>
    </xdr:sp>
    <xdr:clientData/>
  </xdr:oneCellAnchor>
  <xdr:twoCellAnchor>
    <xdr:from>
      <xdr:col>15</xdr:col>
      <xdr:colOff>283313</xdr:colOff>
      <xdr:row>61</xdr:row>
      <xdr:rowOff>151229</xdr:rowOff>
    </xdr:from>
    <xdr:to>
      <xdr:col>18</xdr:col>
      <xdr:colOff>280688</xdr:colOff>
      <xdr:row>62</xdr:row>
      <xdr:rowOff>147643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707DDEFE-04E7-4E94-9202-8D8E54E48ABD}"/>
            </a:ext>
          </a:extLst>
        </xdr:cNvPr>
        <xdr:cNvSpPr/>
      </xdr:nvSpPr>
      <xdr:spPr>
        <a:xfrm>
          <a:off x="12647670" y="18121729"/>
          <a:ext cx="977089" cy="2232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Req.</a:t>
          </a:r>
        </a:p>
      </xdr:txBody>
    </xdr:sp>
    <xdr:clientData/>
  </xdr:twoCellAnchor>
  <xdr:twoCellAnchor>
    <xdr:from>
      <xdr:col>18</xdr:col>
      <xdr:colOff>296907</xdr:colOff>
      <xdr:row>61</xdr:row>
      <xdr:rowOff>145335</xdr:rowOff>
    </xdr:from>
    <xdr:to>
      <xdr:col>22</xdr:col>
      <xdr:colOff>238297</xdr:colOff>
      <xdr:row>62</xdr:row>
      <xdr:rowOff>141749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7BF733D9-3175-4C08-8278-9FFD78D4EF8B}"/>
            </a:ext>
          </a:extLst>
        </xdr:cNvPr>
        <xdr:cNvSpPr/>
      </xdr:nvSpPr>
      <xdr:spPr>
        <a:xfrm>
          <a:off x="13640978" y="18115835"/>
          <a:ext cx="1247676" cy="2232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24</xdr:col>
      <xdr:colOff>89682</xdr:colOff>
      <xdr:row>62</xdr:row>
      <xdr:rowOff>136600</xdr:rowOff>
    </xdr:from>
    <xdr:to>
      <xdr:col>26</xdr:col>
      <xdr:colOff>18143</xdr:colOff>
      <xdr:row>63</xdr:row>
      <xdr:rowOff>136072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78BC2528-D7DA-4070-B0E9-A7134461BD54}"/>
            </a:ext>
          </a:extLst>
        </xdr:cNvPr>
        <xdr:cNvSpPr/>
      </xdr:nvSpPr>
      <xdr:spPr>
        <a:xfrm>
          <a:off x="15393182" y="18333886"/>
          <a:ext cx="581604" cy="226257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22</xdr:col>
      <xdr:colOff>18178</xdr:colOff>
      <xdr:row>62</xdr:row>
      <xdr:rowOff>137642</xdr:rowOff>
    </xdr:from>
    <xdr:to>
      <xdr:col>24</xdr:col>
      <xdr:colOff>78499</xdr:colOff>
      <xdr:row>63</xdr:row>
      <xdr:rowOff>136319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8E855E81-A9A4-4F55-905E-21FCA816BC6D}"/>
            </a:ext>
          </a:extLst>
        </xdr:cNvPr>
        <xdr:cNvSpPr/>
      </xdr:nvSpPr>
      <xdr:spPr>
        <a:xfrm>
          <a:off x="14668535" y="18334928"/>
          <a:ext cx="713464" cy="225462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19</xdr:col>
      <xdr:colOff>9034</xdr:colOff>
      <xdr:row>63</xdr:row>
      <xdr:rowOff>99191</xdr:rowOff>
    </xdr:from>
    <xdr:to>
      <xdr:col>26</xdr:col>
      <xdr:colOff>201822</xdr:colOff>
      <xdr:row>64</xdr:row>
      <xdr:rowOff>57512</xdr:rowOff>
    </xdr:to>
    <xdr:sp macro="" textlink="">
      <xdr:nvSpPr>
        <xdr:cNvPr id="230" name="Chave Direita 229">
          <a:extLst>
            <a:ext uri="{FF2B5EF4-FFF2-40B4-BE49-F238E27FC236}">
              <a16:creationId xmlns:a16="http://schemas.microsoft.com/office/drawing/2014/main" id="{D0DADDAD-FDB7-42FD-B73A-D254A53A8612}"/>
            </a:ext>
          </a:extLst>
        </xdr:cNvPr>
        <xdr:cNvSpPr/>
      </xdr:nvSpPr>
      <xdr:spPr>
        <a:xfrm rot="5400000">
          <a:off x="14826517" y="17376422"/>
          <a:ext cx="185107" cy="2478788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156219</xdr:colOff>
      <xdr:row>64</xdr:row>
      <xdr:rowOff>47113</xdr:rowOff>
    </xdr:from>
    <xdr:ext cx="2276474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7DF34ABE-5DF4-4BD8-9F79-F11FD666DB3C}"/>
            </a:ext>
          </a:extLst>
        </xdr:cNvPr>
        <xdr:cNvSpPr txBox="1"/>
      </xdr:nvSpPr>
      <xdr:spPr>
        <a:xfrm>
          <a:off x="13173719" y="18697970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14</xdr:col>
      <xdr:colOff>42624</xdr:colOff>
      <xdr:row>60</xdr:row>
      <xdr:rowOff>139449</xdr:rowOff>
    </xdr:from>
    <xdr:to>
      <xdr:col>25</xdr:col>
      <xdr:colOff>33701</xdr:colOff>
      <xdr:row>61</xdr:row>
      <xdr:rowOff>134487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7F0ECA34-78AE-BC23-96DD-A3A9BEFF372D}"/>
            </a:ext>
          </a:extLst>
        </xdr:cNvPr>
        <xdr:cNvSpPr/>
      </xdr:nvSpPr>
      <xdr:spPr>
        <a:xfrm>
          <a:off x="11820967" y="18089992"/>
          <a:ext cx="3463620" cy="22363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SAP - FACTORY PROJECT - Conflict of Setup with</a:t>
          </a:r>
        </a:p>
      </xdr:txBody>
    </xdr:sp>
    <xdr:clientData/>
  </xdr:twoCellAnchor>
  <xdr:oneCellAnchor>
    <xdr:from>
      <xdr:col>5</xdr:col>
      <xdr:colOff>47976</xdr:colOff>
      <xdr:row>60</xdr:row>
      <xdr:rowOff>63155</xdr:rowOff>
    </xdr:from>
    <xdr:ext cx="1421351" cy="609013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12AC6CB0-1FA4-9B72-8F7D-84352D88D8C3}"/>
            </a:ext>
          </a:extLst>
        </xdr:cNvPr>
        <xdr:cNvSpPr txBox="1"/>
      </xdr:nvSpPr>
      <xdr:spPr>
        <a:xfrm>
          <a:off x="9146619" y="17806869"/>
          <a:ext cx="1421351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SAP Resources </a:t>
          </a:r>
        </a:p>
        <a:p>
          <a:r>
            <a:rPr lang="pt-BR" sz="1100"/>
            <a:t>- </a:t>
          </a:r>
          <a:r>
            <a:rPr lang="pt-BR" sz="1100" b="1"/>
            <a:t>Dev: </a:t>
          </a:r>
          <a:r>
            <a:rPr lang="pt-BR" sz="1100"/>
            <a:t>DANILO (AMS)</a:t>
          </a:r>
          <a:endParaRPr lang="pt-BR" sz="1100" baseline="0"/>
        </a:p>
        <a:p>
          <a:r>
            <a:rPr lang="pt-BR" sz="1100" baseline="0"/>
            <a:t>- </a:t>
          </a:r>
          <a:r>
            <a:rPr lang="pt-BR" sz="1100" b="1" baseline="0"/>
            <a:t>GWM:</a:t>
          </a:r>
          <a:r>
            <a:rPr lang="pt-BR" sz="1100" baseline="0"/>
            <a:t> Marcela</a:t>
          </a:r>
          <a:endParaRPr lang="pt-BR" sz="1100" i="1"/>
        </a:p>
      </xdr:txBody>
    </xdr:sp>
    <xdr:clientData/>
  </xdr:oneCellAnchor>
  <xdr:twoCellAnchor>
    <xdr:from>
      <xdr:col>20</xdr:col>
      <xdr:colOff>54668</xdr:colOff>
      <xdr:row>67</xdr:row>
      <xdr:rowOff>77376</xdr:rowOff>
    </xdr:from>
    <xdr:to>
      <xdr:col>24</xdr:col>
      <xdr:colOff>50044</xdr:colOff>
      <xdr:row>68</xdr:row>
      <xdr:rowOff>80140</xdr:rowOff>
    </xdr:to>
    <xdr:sp macro="" textlink="">
      <xdr:nvSpPr>
        <xdr:cNvPr id="118" name="Retângulo 235">
          <a:extLst>
            <a:ext uri="{FF2B5EF4-FFF2-40B4-BE49-F238E27FC236}">
              <a16:creationId xmlns:a16="http://schemas.microsoft.com/office/drawing/2014/main" id="{1153CA59-59AC-41D8-9502-207EC9AF7769}"/>
            </a:ext>
          </a:extLst>
        </xdr:cNvPr>
        <xdr:cNvSpPr/>
      </xdr:nvSpPr>
      <xdr:spPr>
        <a:xfrm>
          <a:off x="15823835" y="27773959"/>
          <a:ext cx="1350042" cy="23559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15</xdr:col>
      <xdr:colOff>44530</xdr:colOff>
      <xdr:row>67</xdr:row>
      <xdr:rowOff>49709</xdr:rowOff>
    </xdr:from>
    <xdr:to>
      <xdr:col>20</xdr:col>
      <xdr:colOff>7196</xdr:colOff>
      <xdr:row>68</xdr:row>
      <xdr:rowOff>68875</xdr:rowOff>
    </xdr:to>
    <xdr:sp macro="" textlink="">
      <xdr:nvSpPr>
        <xdr:cNvPr id="261" name="Retângulo 236">
          <a:extLst>
            <a:ext uri="{FF2B5EF4-FFF2-40B4-BE49-F238E27FC236}">
              <a16:creationId xmlns:a16="http://schemas.microsoft.com/office/drawing/2014/main" id="{4793D6DF-B4EE-4B59-BF82-ADAF2DA7B15D}"/>
            </a:ext>
          </a:extLst>
        </xdr:cNvPr>
        <xdr:cNvSpPr/>
      </xdr:nvSpPr>
      <xdr:spPr>
        <a:xfrm>
          <a:off x="14120363" y="27746292"/>
          <a:ext cx="1656000" cy="25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24</xdr:col>
      <xdr:colOff>58480</xdr:colOff>
      <xdr:row>67</xdr:row>
      <xdr:rowOff>77529</xdr:rowOff>
    </xdr:from>
    <xdr:to>
      <xdr:col>26</xdr:col>
      <xdr:colOff>29146</xdr:colOff>
      <xdr:row>68</xdr:row>
      <xdr:rowOff>96695</xdr:rowOff>
    </xdr:to>
    <xdr:sp macro="" textlink="">
      <xdr:nvSpPr>
        <xdr:cNvPr id="270" name="Retângulo 237">
          <a:extLst>
            <a:ext uri="{FF2B5EF4-FFF2-40B4-BE49-F238E27FC236}">
              <a16:creationId xmlns:a16="http://schemas.microsoft.com/office/drawing/2014/main" id="{F73C93DF-5820-4C03-A967-78E7D214640A}"/>
            </a:ext>
          </a:extLst>
        </xdr:cNvPr>
        <xdr:cNvSpPr/>
      </xdr:nvSpPr>
      <xdr:spPr>
        <a:xfrm>
          <a:off x="17182313" y="27774112"/>
          <a:ext cx="648000" cy="252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26</xdr:col>
      <xdr:colOff>50858</xdr:colOff>
      <xdr:row>67</xdr:row>
      <xdr:rowOff>71481</xdr:rowOff>
    </xdr:from>
    <xdr:to>
      <xdr:col>28</xdr:col>
      <xdr:colOff>34623</xdr:colOff>
      <xdr:row>68</xdr:row>
      <xdr:rowOff>80283</xdr:rowOff>
    </xdr:to>
    <xdr:sp macro="" textlink="">
      <xdr:nvSpPr>
        <xdr:cNvPr id="132" name="Retângulo 238">
          <a:extLst>
            <a:ext uri="{FF2B5EF4-FFF2-40B4-BE49-F238E27FC236}">
              <a16:creationId xmlns:a16="http://schemas.microsoft.com/office/drawing/2014/main" id="{99283642-3E06-475C-9321-752B946ABCBE}"/>
            </a:ext>
          </a:extLst>
        </xdr:cNvPr>
        <xdr:cNvSpPr/>
      </xdr:nvSpPr>
      <xdr:spPr>
        <a:xfrm>
          <a:off x="17852025" y="27768064"/>
          <a:ext cx="661098" cy="241636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28</xdr:col>
      <xdr:colOff>229759</xdr:colOff>
      <xdr:row>67</xdr:row>
      <xdr:rowOff>92833</xdr:rowOff>
    </xdr:from>
    <xdr:to>
      <xdr:col>29</xdr:col>
      <xdr:colOff>47065</xdr:colOff>
      <xdr:row>68</xdr:row>
      <xdr:rowOff>8981</xdr:rowOff>
    </xdr:to>
    <xdr:sp macro="" textlink="">
      <xdr:nvSpPr>
        <xdr:cNvPr id="271" name="Estrela: 5 Pontas 239">
          <a:extLst>
            <a:ext uri="{FF2B5EF4-FFF2-40B4-BE49-F238E27FC236}">
              <a16:creationId xmlns:a16="http://schemas.microsoft.com/office/drawing/2014/main" id="{6A7C5519-8E1D-4EBF-AD53-573B72D459C8}"/>
            </a:ext>
          </a:extLst>
        </xdr:cNvPr>
        <xdr:cNvSpPr/>
      </xdr:nvSpPr>
      <xdr:spPr>
        <a:xfrm>
          <a:off x="18708259" y="27789416"/>
          <a:ext cx="155973" cy="148982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28</xdr:col>
      <xdr:colOff>260100</xdr:colOff>
      <xdr:row>67</xdr:row>
      <xdr:rowOff>200852</xdr:rowOff>
    </xdr:from>
    <xdr:ext cx="495300" cy="264560"/>
    <xdr:sp macro="" textlink="">
      <xdr:nvSpPr>
        <xdr:cNvPr id="272" name="CaixaDeTexto 240">
          <a:extLst>
            <a:ext uri="{FF2B5EF4-FFF2-40B4-BE49-F238E27FC236}">
              <a16:creationId xmlns:a16="http://schemas.microsoft.com/office/drawing/2014/main" id="{46F3A766-B794-448F-B736-83FFC9EFA701}"/>
            </a:ext>
          </a:extLst>
        </xdr:cNvPr>
        <xdr:cNvSpPr txBox="1"/>
      </xdr:nvSpPr>
      <xdr:spPr>
        <a:xfrm>
          <a:off x="18738600" y="27897435"/>
          <a:ext cx="49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  <xdr:twoCellAnchor>
    <xdr:from>
      <xdr:col>15</xdr:col>
      <xdr:colOff>43404</xdr:colOff>
      <xdr:row>66</xdr:row>
      <xdr:rowOff>19699</xdr:rowOff>
    </xdr:from>
    <xdr:to>
      <xdr:col>28</xdr:col>
      <xdr:colOff>42868</xdr:colOff>
      <xdr:row>67</xdr:row>
      <xdr:rowOff>50932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90F64CEA-4548-26D4-F2CE-EF678F2732F4}"/>
            </a:ext>
          </a:extLst>
        </xdr:cNvPr>
        <xdr:cNvSpPr/>
      </xdr:nvSpPr>
      <xdr:spPr>
        <a:xfrm>
          <a:off x="13364797" y="27438092"/>
          <a:ext cx="4068000" cy="26255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SAP - Symbolic Transfer </a:t>
          </a:r>
        </a:p>
      </xdr:txBody>
    </xdr:sp>
    <xdr:clientData/>
  </xdr:twoCellAnchor>
  <xdr:twoCellAnchor>
    <xdr:from>
      <xdr:col>11</xdr:col>
      <xdr:colOff>31012</xdr:colOff>
      <xdr:row>55</xdr:row>
      <xdr:rowOff>120853</xdr:rowOff>
    </xdr:from>
    <xdr:to>
      <xdr:col>22</xdr:col>
      <xdr:colOff>328083</xdr:colOff>
      <xdr:row>56</xdr:row>
      <xdr:rowOff>178756</xdr:rowOff>
    </xdr:to>
    <xdr:sp macro="" textlink="">
      <xdr:nvSpPr>
        <xdr:cNvPr id="60" name="Retângulo 244">
          <a:extLst>
            <a:ext uri="{FF2B5EF4-FFF2-40B4-BE49-F238E27FC236}">
              <a16:creationId xmlns:a16="http://schemas.microsoft.com/office/drawing/2014/main" id="{5AB85DF8-6C90-025D-4BE0-B3F7B7B7B222}"/>
            </a:ext>
          </a:extLst>
        </xdr:cNvPr>
        <xdr:cNvSpPr/>
      </xdr:nvSpPr>
      <xdr:spPr>
        <a:xfrm>
          <a:off x="12752179" y="25023436"/>
          <a:ext cx="4022404" cy="2907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- Conectivity Sales</a:t>
          </a:r>
        </a:p>
      </xdr:txBody>
    </xdr:sp>
    <xdr:clientData/>
  </xdr:twoCellAnchor>
  <xdr:twoCellAnchor>
    <xdr:from>
      <xdr:col>11</xdr:col>
      <xdr:colOff>33443</xdr:colOff>
      <xdr:row>56</xdr:row>
      <xdr:rowOff>184830</xdr:rowOff>
    </xdr:from>
    <xdr:to>
      <xdr:col>12</xdr:col>
      <xdr:colOff>301377</xdr:colOff>
      <xdr:row>57</xdr:row>
      <xdr:rowOff>162705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77781B2D-551B-6879-B48F-E1908512E0D6}"/>
            </a:ext>
          </a:extLst>
        </xdr:cNvPr>
        <xdr:cNvSpPr/>
      </xdr:nvSpPr>
      <xdr:spPr>
        <a:xfrm>
          <a:off x="10864729" y="17220973"/>
          <a:ext cx="583619" cy="2064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13</xdr:col>
      <xdr:colOff>33643</xdr:colOff>
      <xdr:row>56</xdr:row>
      <xdr:rowOff>160065</xdr:rowOff>
    </xdr:from>
    <xdr:to>
      <xdr:col>17</xdr:col>
      <xdr:colOff>300045</xdr:colOff>
      <xdr:row>57</xdr:row>
      <xdr:rowOff>162705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443C65B7-1BF8-F99D-8E99-6454C06405A3}"/>
            </a:ext>
          </a:extLst>
        </xdr:cNvPr>
        <xdr:cNvSpPr/>
      </xdr:nvSpPr>
      <xdr:spPr>
        <a:xfrm>
          <a:off x="11496300" y="17196208"/>
          <a:ext cx="1529145" cy="23124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18</xdr:col>
      <xdr:colOff>31022</xdr:colOff>
      <xdr:row>56</xdr:row>
      <xdr:rowOff>174881</xdr:rowOff>
    </xdr:from>
    <xdr:to>
      <xdr:col>21</xdr:col>
      <xdr:colOff>10583</xdr:colOff>
      <xdr:row>57</xdr:row>
      <xdr:rowOff>161223</xdr:rowOff>
    </xdr:to>
    <xdr:sp macro="" textlink="">
      <xdr:nvSpPr>
        <xdr:cNvPr id="92" name="Retângulo 247">
          <a:extLst>
            <a:ext uri="{FF2B5EF4-FFF2-40B4-BE49-F238E27FC236}">
              <a16:creationId xmlns:a16="http://schemas.microsoft.com/office/drawing/2014/main" id="{D5630245-DE77-45F4-DEDF-45CED99743AD}"/>
            </a:ext>
          </a:extLst>
        </xdr:cNvPr>
        <xdr:cNvSpPr/>
      </xdr:nvSpPr>
      <xdr:spPr>
        <a:xfrm>
          <a:off x="15122855" y="25310298"/>
          <a:ext cx="995561" cy="2191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21</xdr:col>
      <xdr:colOff>26359</xdr:colOff>
      <xdr:row>56</xdr:row>
      <xdr:rowOff>181232</xdr:rowOff>
    </xdr:from>
    <xdr:to>
      <xdr:col>22</xdr:col>
      <xdr:colOff>323908</xdr:colOff>
      <xdr:row>57</xdr:row>
      <xdr:rowOff>183872</xdr:rowOff>
    </xdr:to>
    <xdr:sp macro="" textlink="">
      <xdr:nvSpPr>
        <xdr:cNvPr id="108" name="Retângulo 248">
          <a:extLst>
            <a:ext uri="{FF2B5EF4-FFF2-40B4-BE49-F238E27FC236}">
              <a16:creationId xmlns:a16="http://schemas.microsoft.com/office/drawing/2014/main" id="{95B74F5D-63CE-11A7-AABB-28D0C449E286}"/>
            </a:ext>
          </a:extLst>
        </xdr:cNvPr>
        <xdr:cNvSpPr/>
      </xdr:nvSpPr>
      <xdr:spPr>
        <a:xfrm>
          <a:off x="16134192" y="25316649"/>
          <a:ext cx="636216" cy="23547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oneCellAnchor>
    <xdr:from>
      <xdr:col>5</xdr:col>
      <xdr:colOff>47976</xdr:colOff>
      <xdr:row>55</xdr:row>
      <xdr:rowOff>54240</xdr:rowOff>
    </xdr:from>
    <xdr:ext cx="1801519" cy="609013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C6B615BD-9BC4-3CCF-AEA6-1C7DED67C80A}"/>
            </a:ext>
          </a:extLst>
        </xdr:cNvPr>
        <xdr:cNvSpPr txBox="1"/>
      </xdr:nvSpPr>
      <xdr:spPr>
        <a:xfrm>
          <a:off x="8985147" y="16861783"/>
          <a:ext cx="1801519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SAP Resources </a:t>
          </a:r>
        </a:p>
        <a:p>
          <a:r>
            <a:rPr lang="pt-BR" sz="1100"/>
            <a:t>- </a:t>
          </a:r>
          <a:r>
            <a:rPr lang="pt-BR" sz="1100" b="1"/>
            <a:t>Dev: </a:t>
          </a:r>
          <a:r>
            <a:rPr lang="pt-BR" sz="1100"/>
            <a:t>Marilia /Cleber (AMS)</a:t>
          </a:r>
          <a:endParaRPr lang="pt-BR" sz="1100" baseline="0"/>
        </a:p>
        <a:p>
          <a:r>
            <a:rPr lang="pt-BR" sz="1100" baseline="0"/>
            <a:t>- </a:t>
          </a:r>
          <a:r>
            <a:rPr lang="pt-BR" sz="1100" b="1" baseline="0"/>
            <a:t>GWM:</a:t>
          </a:r>
          <a:r>
            <a:rPr lang="pt-BR" sz="1100" baseline="0"/>
            <a:t> Marcela</a:t>
          </a:r>
          <a:endParaRPr lang="pt-BR" sz="1100" i="1"/>
        </a:p>
      </xdr:txBody>
    </xdr:sp>
    <xdr:clientData/>
  </xdr:oneCellAnchor>
  <xdr:twoCellAnchor>
    <xdr:from>
      <xdr:col>17</xdr:col>
      <xdr:colOff>301532</xdr:colOff>
      <xdr:row>50</xdr:row>
      <xdr:rowOff>133076</xdr:rowOff>
    </xdr:from>
    <xdr:to>
      <xdr:col>20</xdr:col>
      <xdr:colOff>294285</xdr:colOff>
      <xdr:row>50</xdr:row>
      <xdr:rowOff>133076</xdr:rowOff>
    </xdr:to>
    <xdr:cxnSp macro="">
      <xdr:nvCxnSpPr>
        <xdr:cNvPr id="256" name="Conector de Seta Reta 255">
          <a:extLst>
            <a:ext uri="{FF2B5EF4-FFF2-40B4-BE49-F238E27FC236}">
              <a16:creationId xmlns:a16="http://schemas.microsoft.com/office/drawing/2014/main" id="{046A4BAD-09EA-019C-05E3-4E1B7536BE4F}"/>
            </a:ext>
          </a:extLst>
        </xdr:cNvPr>
        <xdr:cNvCxnSpPr/>
      </xdr:nvCxnSpPr>
      <xdr:spPr>
        <a:xfrm>
          <a:off x="13026932" y="14197419"/>
          <a:ext cx="93981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179693</xdr:colOff>
      <xdr:row>49</xdr:row>
      <xdr:rowOff>73289</xdr:rowOff>
    </xdr:from>
    <xdr:ext cx="1267142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E1010AC6-C524-1DC9-5B44-C5D852063ACA}"/>
            </a:ext>
          </a:extLst>
        </xdr:cNvPr>
        <xdr:cNvSpPr txBox="1"/>
      </xdr:nvSpPr>
      <xdr:spPr>
        <a:xfrm>
          <a:off x="12615533" y="16075289"/>
          <a:ext cx="12671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Marcela Vacations</a:t>
          </a:r>
          <a:endParaRPr lang="pt-BR" sz="1100" b="1" i="1"/>
        </a:p>
      </xdr:txBody>
    </xdr:sp>
    <xdr:clientData/>
  </xdr:oneCellAnchor>
  <xdr:oneCellAnchor>
    <xdr:from>
      <xdr:col>5</xdr:col>
      <xdr:colOff>47977</xdr:colOff>
      <xdr:row>65</xdr:row>
      <xdr:rowOff>35941</xdr:rowOff>
    </xdr:from>
    <xdr:ext cx="1930850" cy="609013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5732820D-818B-6ED5-3277-3611E718F9CE}"/>
            </a:ext>
          </a:extLst>
        </xdr:cNvPr>
        <xdr:cNvSpPr txBox="1"/>
      </xdr:nvSpPr>
      <xdr:spPr>
        <a:xfrm>
          <a:off x="8985148" y="19129484"/>
          <a:ext cx="1930850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SAP Resources </a:t>
          </a:r>
        </a:p>
        <a:p>
          <a:r>
            <a:rPr lang="pt-BR" sz="1100"/>
            <a:t>- </a:t>
          </a:r>
          <a:r>
            <a:rPr lang="pt-BR" sz="1100" b="1"/>
            <a:t>Dev: </a:t>
          </a:r>
          <a:r>
            <a:rPr lang="pt-BR" sz="1100"/>
            <a:t>Marilia/Claudinei (AMS)</a:t>
          </a:r>
          <a:endParaRPr lang="pt-BR" sz="1100" baseline="0"/>
        </a:p>
        <a:p>
          <a:r>
            <a:rPr lang="pt-BR" sz="1100" baseline="0"/>
            <a:t>- </a:t>
          </a:r>
          <a:r>
            <a:rPr lang="pt-BR" sz="1100" b="1" baseline="0"/>
            <a:t>GWM:</a:t>
          </a:r>
          <a:r>
            <a:rPr lang="pt-BR" sz="1100" baseline="0"/>
            <a:t> Marcela</a:t>
          </a:r>
          <a:endParaRPr lang="pt-BR" sz="1100" i="1"/>
        </a:p>
      </xdr:txBody>
    </xdr:sp>
    <xdr:clientData/>
  </xdr:oneCellAnchor>
  <xdr:twoCellAnchor>
    <xdr:from>
      <xdr:col>20</xdr:col>
      <xdr:colOff>325006</xdr:colOff>
      <xdr:row>49</xdr:row>
      <xdr:rowOff>65965</xdr:rowOff>
    </xdr:from>
    <xdr:to>
      <xdr:col>20</xdr:col>
      <xdr:colOff>325006</xdr:colOff>
      <xdr:row>70</xdr:row>
      <xdr:rowOff>2164484</xdr:rowOff>
    </xdr:to>
    <xdr:cxnSp macro="">
      <xdr:nvCxnSpPr>
        <xdr:cNvPr id="273" name="Conector reto 195">
          <a:extLst>
            <a:ext uri="{FF2B5EF4-FFF2-40B4-BE49-F238E27FC236}">
              <a16:creationId xmlns:a16="http://schemas.microsoft.com/office/drawing/2014/main" id="{D1CBE71F-A46C-4703-BB7F-C7C7FCB4D7E6}"/>
            </a:ext>
          </a:extLst>
        </xdr:cNvPr>
        <xdr:cNvCxnSpPr/>
      </xdr:nvCxnSpPr>
      <xdr:spPr>
        <a:xfrm>
          <a:off x="16094173" y="23571548"/>
          <a:ext cx="0" cy="7654769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43280</xdr:colOff>
      <xdr:row>8</xdr:row>
      <xdr:rowOff>253149</xdr:rowOff>
    </xdr:from>
    <xdr:to>
      <xdr:col>28</xdr:col>
      <xdr:colOff>294575</xdr:colOff>
      <xdr:row>8</xdr:row>
      <xdr:rowOff>502209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6ACF31D-2987-4914-8EF8-0E9FE812DF5B}"/>
            </a:ext>
          </a:extLst>
        </xdr:cNvPr>
        <xdr:cNvSpPr/>
      </xdr:nvSpPr>
      <xdr:spPr>
        <a:xfrm>
          <a:off x="13042104" y="6461208"/>
          <a:ext cx="4644000" cy="249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Whole Sales Phase I</a:t>
          </a:r>
        </a:p>
      </xdr:txBody>
    </xdr:sp>
    <xdr:clientData/>
  </xdr:twoCellAnchor>
  <xdr:twoCellAnchor>
    <xdr:from>
      <xdr:col>14</xdr:col>
      <xdr:colOff>42537</xdr:colOff>
      <xdr:row>8</xdr:row>
      <xdr:rowOff>503430</xdr:rowOff>
    </xdr:from>
    <xdr:to>
      <xdr:col>16</xdr:col>
      <xdr:colOff>306066</xdr:colOff>
      <xdr:row>8</xdr:row>
      <xdr:rowOff>628221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2173AA8-D0F5-4937-9666-F888041C1968}"/>
            </a:ext>
          </a:extLst>
        </xdr:cNvPr>
        <xdr:cNvSpPr/>
      </xdr:nvSpPr>
      <xdr:spPr>
        <a:xfrm>
          <a:off x="13041361" y="6711489"/>
          <a:ext cx="891058" cy="12479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Req. </a:t>
          </a:r>
        </a:p>
      </xdr:txBody>
    </xdr:sp>
    <xdr:clientData/>
  </xdr:twoCellAnchor>
  <xdr:twoCellAnchor>
    <xdr:from>
      <xdr:col>17</xdr:col>
      <xdr:colOff>17222</xdr:colOff>
      <xdr:row>8</xdr:row>
      <xdr:rowOff>502478</xdr:rowOff>
    </xdr:from>
    <xdr:to>
      <xdr:col>21</xdr:col>
      <xdr:colOff>15244</xdr:colOff>
      <xdr:row>8</xdr:row>
      <xdr:rowOff>638699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F5653DA-707A-4EBD-B8C8-34741B098F17}"/>
            </a:ext>
          </a:extLst>
        </xdr:cNvPr>
        <xdr:cNvSpPr/>
      </xdr:nvSpPr>
      <xdr:spPr>
        <a:xfrm>
          <a:off x="13957340" y="6710537"/>
          <a:ext cx="1253080" cy="13622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21</xdr:col>
      <xdr:colOff>46122</xdr:colOff>
      <xdr:row>8</xdr:row>
      <xdr:rowOff>502478</xdr:rowOff>
    </xdr:from>
    <xdr:to>
      <xdr:col>23</xdr:col>
      <xdr:colOff>25102</xdr:colOff>
      <xdr:row>8</xdr:row>
      <xdr:rowOff>638699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EF23C200-B36B-4EB4-A9FE-B2A1924DEE2B}"/>
            </a:ext>
          </a:extLst>
        </xdr:cNvPr>
        <xdr:cNvSpPr/>
      </xdr:nvSpPr>
      <xdr:spPr>
        <a:xfrm>
          <a:off x="15241298" y="6710537"/>
          <a:ext cx="606510" cy="13622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27</xdr:col>
      <xdr:colOff>12723</xdr:colOff>
      <xdr:row>8</xdr:row>
      <xdr:rowOff>513684</xdr:rowOff>
    </xdr:from>
    <xdr:to>
      <xdr:col>28</xdr:col>
      <xdr:colOff>305692</xdr:colOff>
      <xdr:row>8</xdr:row>
      <xdr:rowOff>649905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C58F37ED-2B07-4205-87BB-0C7040F39487}"/>
            </a:ext>
          </a:extLst>
        </xdr:cNvPr>
        <xdr:cNvSpPr/>
      </xdr:nvSpPr>
      <xdr:spPr>
        <a:xfrm>
          <a:off x="17090488" y="6721743"/>
          <a:ext cx="606733" cy="13622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19</xdr:col>
      <xdr:colOff>78367</xdr:colOff>
      <xdr:row>9</xdr:row>
      <xdr:rowOff>620235</xdr:rowOff>
    </xdr:from>
    <xdr:to>
      <xdr:col>30</xdr:col>
      <xdr:colOff>78591</xdr:colOff>
      <xdr:row>9</xdr:row>
      <xdr:rowOff>814050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3A1741BC-CEBB-4F55-AA1A-EB4BDB39699B}"/>
            </a:ext>
          </a:extLst>
        </xdr:cNvPr>
        <xdr:cNvSpPr/>
      </xdr:nvSpPr>
      <xdr:spPr>
        <a:xfrm>
          <a:off x="14646014" y="7713559"/>
          <a:ext cx="3451636" cy="19381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GDMC - Whole Sales Phase II</a:t>
          </a:r>
        </a:p>
      </xdr:txBody>
    </xdr:sp>
    <xdr:clientData/>
  </xdr:twoCellAnchor>
  <xdr:twoCellAnchor>
    <xdr:from>
      <xdr:col>19</xdr:col>
      <xdr:colOff>79745</xdr:colOff>
      <xdr:row>9</xdr:row>
      <xdr:rowOff>813673</xdr:rowOff>
    </xdr:from>
    <xdr:to>
      <xdr:col>22</xdr:col>
      <xdr:colOff>44974</xdr:colOff>
      <xdr:row>9</xdr:row>
      <xdr:rowOff>956041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E0EDFC97-7B6E-4256-9F67-3BB379A20F97}"/>
            </a:ext>
          </a:extLst>
        </xdr:cNvPr>
        <xdr:cNvSpPr/>
      </xdr:nvSpPr>
      <xdr:spPr>
        <a:xfrm>
          <a:off x="14647392" y="7906997"/>
          <a:ext cx="906523" cy="14236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Req.</a:t>
          </a:r>
        </a:p>
      </xdr:txBody>
    </xdr:sp>
    <xdr:clientData/>
  </xdr:twoCellAnchor>
  <xdr:twoCellAnchor>
    <xdr:from>
      <xdr:col>22</xdr:col>
      <xdr:colOff>83997</xdr:colOff>
      <xdr:row>9</xdr:row>
      <xdr:rowOff>826056</xdr:rowOff>
    </xdr:from>
    <xdr:to>
      <xdr:col>26</xdr:col>
      <xdr:colOff>45825</xdr:colOff>
      <xdr:row>9</xdr:row>
      <xdr:rowOff>960804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2BA6464B-E6A1-4D6B-BE5D-205CD5D8C581}"/>
            </a:ext>
          </a:extLst>
        </xdr:cNvPr>
        <xdr:cNvSpPr/>
      </xdr:nvSpPr>
      <xdr:spPr>
        <a:xfrm>
          <a:off x="15592938" y="7919380"/>
          <a:ext cx="1216887" cy="13474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26</xdr:col>
      <xdr:colOff>79969</xdr:colOff>
      <xdr:row>9</xdr:row>
      <xdr:rowOff>813673</xdr:rowOff>
    </xdr:from>
    <xdr:to>
      <xdr:col>28</xdr:col>
      <xdr:colOff>45837</xdr:colOff>
      <xdr:row>9</xdr:row>
      <xdr:rowOff>956041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37011D56-5211-4720-826B-69562C1E8A68}"/>
            </a:ext>
          </a:extLst>
        </xdr:cNvPr>
        <xdr:cNvSpPr/>
      </xdr:nvSpPr>
      <xdr:spPr>
        <a:xfrm>
          <a:off x="16843969" y="7906997"/>
          <a:ext cx="593397" cy="14236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28</xdr:col>
      <xdr:colOff>84003</xdr:colOff>
      <xdr:row>9</xdr:row>
      <xdr:rowOff>813674</xdr:rowOff>
    </xdr:from>
    <xdr:to>
      <xdr:col>30</xdr:col>
      <xdr:colOff>24883</xdr:colOff>
      <xdr:row>9</xdr:row>
      <xdr:rowOff>956042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D96CA642-02CD-41FE-8471-A9651814F7E8}"/>
            </a:ext>
          </a:extLst>
        </xdr:cNvPr>
        <xdr:cNvSpPr/>
      </xdr:nvSpPr>
      <xdr:spPr>
        <a:xfrm>
          <a:off x="17475532" y="7906998"/>
          <a:ext cx="568410" cy="142368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oneCellAnchor>
    <xdr:from>
      <xdr:col>4</xdr:col>
      <xdr:colOff>3549947</xdr:colOff>
      <xdr:row>8</xdr:row>
      <xdr:rowOff>719699</xdr:rowOff>
    </xdr:from>
    <xdr:ext cx="2190908" cy="78124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163E6004-190D-422F-B6F5-790A3B0DE7BD}"/>
            </a:ext>
          </a:extLst>
        </xdr:cNvPr>
        <xdr:cNvSpPr txBox="1"/>
      </xdr:nvSpPr>
      <xdr:spPr>
        <a:xfrm>
          <a:off x="10190233" y="7291949"/>
          <a:ext cx="2190908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Whole Sales model</a:t>
          </a:r>
        </a:p>
        <a:p>
          <a:r>
            <a:rPr lang="pt-BR" sz="1100" b="0"/>
            <a:t>- Dedicated resources approval for that based on benefits of financial &amp; commercial team</a:t>
          </a:r>
          <a:r>
            <a:rPr lang="pt-BR" sz="1100" b="0" baseline="0"/>
            <a:t> </a:t>
          </a:r>
          <a:endParaRPr lang="pt-BR" sz="1100" b="0" i="1"/>
        </a:p>
      </xdr:txBody>
    </xdr:sp>
    <xdr:clientData/>
  </xdr:oneCellAnchor>
  <xdr:twoCellAnchor>
    <xdr:from>
      <xdr:col>22</xdr:col>
      <xdr:colOff>72641</xdr:colOff>
      <xdr:row>9</xdr:row>
      <xdr:rowOff>1006096</xdr:rowOff>
    </xdr:from>
    <xdr:to>
      <xdr:col>30</xdr:col>
      <xdr:colOff>8603</xdr:colOff>
      <xdr:row>9</xdr:row>
      <xdr:rowOff>1114096</xdr:rowOff>
    </xdr:to>
    <xdr:sp macro="" textlink="">
      <xdr:nvSpPr>
        <xdr:cNvPr id="55" name="Chave Direita 54">
          <a:extLst>
            <a:ext uri="{FF2B5EF4-FFF2-40B4-BE49-F238E27FC236}">
              <a16:creationId xmlns:a16="http://schemas.microsoft.com/office/drawing/2014/main" id="{B6B6ED71-F2FB-4F3C-B3AD-40B89C1DBE5F}"/>
            </a:ext>
          </a:extLst>
        </xdr:cNvPr>
        <xdr:cNvSpPr/>
      </xdr:nvSpPr>
      <xdr:spPr>
        <a:xfrm rot="5400000">
          <a:off x="16750622" y="6930380"/>
          <a:ext cx="108000" cy="2446080"/>
        </a:xfrm>
        <a:prstGeom prst="rightBrace">
          <a:avLst/>
        </a:prstGeom>
        <a:ln w="12700">
          <a:solidFill>
            <a:schemeClr val="accent4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22</xdr:col>
      <xdr:colOff>212963</xdr:colOff>
      <xdr:row>9</xdr:row>
      <xdr:rowOff>1056617</xdr:rowOff>
    </xdr:from>
    <xdr:ext cx="2276474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B126C1C0-E585-4015-8F41-5EECE8E44E59}"/>
            </a:ext>
          </a:extLst>
        </xdr:cNvPr>
        <xdr:cNvSpPr txBox="1"/>
      </xdr:nvSpPr>
      <xdr:spPr>
        <a:xfrm>
          <a:off x="15721904" y="8149941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28</xdr:col>
      <xdr:colOff>57710</xdr:colOff>
      <xdr:row>87</xdr:row>
      <xdr:rowOff>61423</xdr:rowOff>
    </xdr:from>
    <xdr:to>
      <xdr:col>35</xdr:col>
      <xdr:colOff>175932</xdr:colOff>
      <xdr:row>87</xdr:row>
      <xdr:rowOff>561653</xdr:rowOff>
    </xdr:to>
    <xdr:sp macro="" textlink="">
      <xdr:nvSpPr>
        <xdr:cNvPr id="58" name="Balão de Fala: Retângulo 57">
          <a:extLst>
            <a:ext uri="{FF2B5EF4-FFF2-40B4-BE49-F238E27FC236}">
              <a16:creationId xmlns:a16="http://schemas.microsoft.com/office/drawing/2014/main" id="{537521D0-D52F-06D4-E19D-D4B6DB849AFD}"/>
            </a:ext>
          </a:extLst>
        </xdr:cNvPr>
        <xdr:cNvSpPr/>
      </xdr:nvSpPr>
      <xdr:spPr>
        <a:xfrm>
          <a:off x="16418298" y="25521188"/>
          <a:ext cx="2377328" cy="500230"/>
        </a:xfrm>
        <a:prstGeom prst="wedgeRectCallout">
          <a:avLst>
            <a:gd name="adj1" fmla="val -76185"/>
            <a:gd name="adj2" fmla="val -810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To be confimed</a:t>
          </a:r>
          <a:r>
            <a:rPr lang="pt-BR" sz="1100" baseline="0">
              <a:solidFill>
                <a:schemeClr val="tx1"/>
              </a:solidFill>
            </a:rPr>
            <a:t> with business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21015</xdr:colOff>
      <xdr:row>83</xdr:row>
      <xdr:rowOff>73622</xdr:rowOff>
    </xdr:from>
    <xdr:to>
      <xdr:col>15</xdr:col>
      <xdr:colOff>21015</xdr:colOff>
      <xdr:row>88</xdr:row>
      <xdr:rowOff>49306</xdr:rowOff>
    </xdr:to>
    <xdr:cxnSp macro="">
      <xdr:nvCxnSpPr>
        <xdr:cNvPr id="51" name="Conector reto 50">
          <a:extLst>
            <a:ext uri="{FF2B5EF4-FFF2-40B4-BE49-F238E27FC236}">
              <a16:creationId xmlns:a16="http://schemas.microsoft.com/office/drawing/2014/main" id="{36E4A4AA-D22E-4F33-B2BA-274D6060AC95}"/>
            </a:ext>
          </a:extLst>
        </xdr:cNvPr>
        <xdr:cNvCxnSpPr/>
      </xdr:nvCxnSpPr>
      <xdr:spPr>
        <a:xfrm>
          <a:off x="12186121" y="23937669"/>
          <a:ext cx="0" cy="63406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23</xdr:col>
      <xdr:colOff>65314</xdr:colOff>
      <xdr:row>96</xdr:row>
      <xdr:rowOff>762000</xdr:rowOff>
    </xdr:from>
    <xdr:ext cx="2276474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80C6DC74-36FA-4E48-9950-7CC8C34AAA33}"/>
            </a:ext>
          </a:extLst>
        </xdr:cNvPr>
        <xdr:cNvSpPr txBox="1"/>
      </xdr:nvSpPr>
      <xdr:spPr>
        <a:xfrm>
          <a:off x="14684828" y="29467629"/>
          <a:ext cx="22764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To be confirmed after User. Req.</a:t>
          </a:r>
          <a:endParaRPr lang="pt-BR" sz="11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18</xdr:col>
      <xdr:colOff>62000</xdr:colOff>
      <xdr:row>53</xdr:row>
      <xdr:rowOff>59115</xdr:rowOff>
    </xdr:from>
    <xdr:to>
      <xdr:col>18</xdr:col>
      <xdr:colOff>250066</xdr:colOff>
      <xdr:row>54</xdr:row>
      <xdr:rowOff>22318</xdr:rowOff>
    </xdr:to>
    <xdr:sp macro="" textlink="">
      <xdr:nvSpPr>
        <xdr:cNvPr id="62" name="Isosceles Triangle 27">
          <a:extLst>
            <a:ext uri="{FF2B5EF4-FFF2-40B4-BE49-F238E27FC236}">
              <a16:creationId xmlns:a16="http://schemas.microsoft.com/office/drawing/2014/main" id="{B487CF96-245A-81B8-EE94-7D1AAAF99CB4}"/>
            </a:ext>
          </a:extLst>
        </xdr:cNvPr>
        <xdr:cNvSpPr/>
      </xdr:nvSpPr>
      <xdr:spPr>
        <a:xfrm rot="10800000">
          <a:off x="13103086" y="14809258"/>
          <a:ext cx="188066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</xdr:col>
      <xdr:colOff>72758</xdr:colOff>
      <xdr:row>51</xdr:row>
      <xdr:rowOff>85454</xdr:rowOff>
    </xdr:from>
    <xdr:ext cx="877501" cy="443463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B0C65358-AE65-582C-E404-D9DFDF129452}"/>
            </a:ext>
          </a:extLst>
        </xdr:cNvPr>
        <xdr:cNvSpPr txBox="1"/>
      </xdr:nvSpPr>
      <xdr:spPr>
        <a:xfrm>
          <a:off x="12883323" y="13675948"/>
          <a:ext cx="877501" cy="44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Parts Claim SAP Go-Live </a:t>
          </a:r>
          <a:endParaRPr lang="pt-BR" sz="1100" b="1" i="1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8378</xdr:colOff>
      <xdr:row>78</xdr:row>
      <xdr:rowOff>454806</xdr:rowOff>
    </xdr:from>
    <xdr:to>
      <xdr:col>17</xdr:col>
      <xdr:colOff>23625</xdr:colOff>
      <xdr:row>78</xdr:row>
      <xdr:rowOff>709309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F47102A5-8899-4990-9211-DF45E3DECADA}"/>
            </a:ext>
          </a:extLst>
        </xdr:cNvPr>
        <xdr:cNvSpPr/>
      </xdr:nvSpPr>
      <xdr:spPr>
        <a:xfrm>
          <a:off x="10200128" y="31247770"/>
          <a:ext cx="3770818" cy="2545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DSH</a:t>
          </a:r>
        </a:p>
      </xdr:txBody>
    </xdr:sp>
    <xdr:clientData/>
  </xdr:twoCellAnchor>
  <xdr:twoCellAnchor>
    <xdr:from>
      <xdr:col>12</xdr:col>
      <xdr:colOff>18521</xdr:colOff>
      <xdr:row>78</xdr:row>
      <xdr:rowOff>732301</xdr:rowOff>
    </xdr:from>
    <xdr:to>
      <xdr:col>15</xdr:col>
      <xdr:colOff>310333</xdr:colOff>
      <xdr:row>79</xdr:row>
      <xdr:rowOff>12905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B5751B42-3173-44DE-97AF-003F0170D754}"/>
            </a:ext>
          </a:extLst>
        </xdr:cNvPr>
        <xdr:cNvSpPr/>
      </xdr:nvSpPr>
      <xdr:spPr>
        <a:xfrm>
          <a:off x="12401021" y="31525265"/>
          <a:ext cx="1230705" cy="13785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On-Hold</a:t>
          </a:r>
        </a:p>
      </xdr:txBody>
    </xdr:sp>
    <xdr:clientData/>
  </xdr:twoCellAnchor>
  <xdr:twoCellAnchor>
    <xdr:from>
      <xdr:col>5</xdr:col>
      <xdr:colOff>333</xdr:colOff>
      <xdr:row>78</xdr:row>
      <xdr:rowOff>731350</xdr:rowOff>
    </xdr:from>
    <xdr:to>
      <xdr:col>7</xdr:col>
      <xdr:colOff>304961</xdr:colOff>
      <xdr:row>79</xdr:row>
      <xdr:rowOff>15764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D44A9E32-9EA1-4123-A0E5-5EDBE09C2A57}"/>
            </a:ext>
          </a:extLst>
        </xdr:cNvPr>
        <xdr:cNvSpPr/>
      </xdr:nvSpPr>
      <xdr:spPr>
        <a:xfrm>
          <a:off x="10192083" y="31524314"/>
          <a:ext cx="930557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8</xdr:col>
      <xdr:colOff>33215</xdr:colOff>
      <xdr:row>78</xdr:row>
      <xdr:rowOff>731349</xdr:rowOff>
    </xdr:from>
    <xdr:to>
      <xdr:col>11</xdr:col>
      <xdr:colOff>310158</xdr:colOff>
      <xdr:row>79</xdr:row>
      <xdr:rowOff>15763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7111ADB1-D60D-4F3A-BCD6-45008019CF55}"/>
            </a:ext>
          </a:extLst>
        </xdr:cNvPr>
        <xdr:cNvSpPr/>
      </xdr:nvSpPr>
      <xdr:spPr>
        <a:xfrm>
          <a:off x="11163858" y="31524313"/>
          <a:ext cx="1215836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14</xdr:col>
      <xdr:colOff>30466</xdr:colOff>
      <xdr:row>79</xdr:row>
      <xdr:rowOff>381481</xdr:rowOff>
    </xdr:from>
    <xdr:to>
      <xdr:col>21</xdr:col>
      <xdr:colOff>3360</xdr:colOff>
      <xdr:row>79</xdr:row>
      <xdr:rowOff>775581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98693B1C-822D-45C9-96F3-2241C557FF44}"/>
            </a:ext>
          </a:extLst>
        </xdr:cNvPr>
        <xdr:cNvSpPr/>
      </xdr:nvSpPr>
      <xdr:spPr>
        <a:xfrm>
          <a:off x="13038895" y="32031695"/>
          <a:ext cx="2163644" cy="3941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Support Chanels for Dealers ( Parts &amp; Sales )</a:t>
          </a:r>
        </a:p>
      </xdr:txBody>
    </xdr:sp>
    <xdr:clientData/>
  </xdr:twoCellAnchor>
  <xdr:twoCellAnchor>
    <xdr:from>
      <xdr:col>14</xdr:col>
      <xdr:colOff>29723</xdr:colOff>
      <xdr:row>79</xdr:row>
      <xdr:rowOff>785766</xdr:rowOff>
    </xdr:from>
    <xdr:to>
      <xdr:col>15</xdr:col>
      <xdr:colOff>30993</xdr:colOff>
      <xdr:row>79</xdr:row>
      <xdr:rowOff>937386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B6BB36BF-6912-48B6-B71D-BE4670A32212}"/>
            </a:ext>
          </a:extLst>
        </xdr:cNvPr>
        <xdr:cNvSpPr/>
      </xdr:nvSpPr>
      <xdr:spPr>
        <a:xfrm>
          <a:off x="13038152" y="32435980"/>
          <a:ext cx="314234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15</xdr:col>
      <xdr:colOff>56270</xdr:colOff>
      <xdr:row>79</xdr:row>
      <xdr:rowOff>787055</xdr:rowOff>
    </xdr:from>
    <xdr:to>
      <xdr:col>17</xdr:col>
      <xdr:colOff>166811</xdr:colOff>
      <xdr:row>79</xdr:row>
      <xdr:rowOff>942485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BCAABAAF-BE55-4F88-BA30-D43A5F82EB13}"/>
            </a:ext>
          </a:extLst>
        </xdr:cNvPr>
        <xdr:cNvSpPr/>
      </xdr:nvSpPr>
      <xdr:spPr>
        <a:xfrm>
          <a:off x="13377663" y="32437269"/>
          <a:ext cx="736469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17</xdr:col>
      <xdr:colOff>199146</xdr:colOff>
      <xdr:row>79</xdr:row>
      <xdr:rowOff>787055</xdr:rowOff>
    </xdr:from>
    <xdr:to>
      <xdr:col>19</xdr:col>
      <xdr:colOff>169162</xdr:colOff>
      <xdr:row>79</xdr:row>
      <xdr:rowOff>942485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42F8CA2-37E9-40FD-8FB3-FC5B60DA4CE4}"/>
            </a:ext>
          </a:extLst>
        </xdr:cNvPr>
        <xdr:cNvSpPr/>
      </xdr:nvSpPr>
      <xdr:spPr>
        <a:xfrm>
          <a:off x="14146467" y="32437269"/>
          <a:ext cx="595945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19</xdr:col>
      <xdr:colOff>197138</xdr:colOff>
      <xdr:row>79</xdr:row>
      <xdr:rowOff>787055</xdr:rowOff>
    </xdr:from>
    <xdr:to>
      <xdr:col>20</xdr:col>
      <xdr:colOff>306409</xdr:colOff>
      <xdr:row>79</xdr:row>
      <xdr:rowOff>942485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46EEC70C-0A1D-4E43-8A10-B0CBF09A3B76}"/>
            </a:ext>
          </a:extLst>
        </xdr:cNvPr>
        <xdr:cNvSpPr/>
      </xdr:nvSpPr>
      <xdr:spPr>
        <a:xfrm>
          <a:off x="14770388" y="32437269"/>
          <a:ext cx="422235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19</xdr:col>
      <xdr:colOff>219765</xdr:colOff>
      <xdr:row>77</xdr:row>
      <xdr:rowOff>135504</xdr:rowOff>
    </xdr:from>
    <xdr:to>
      <xdr:col>20</xdr:col>
      <xdr:colOff>92145</xdr:colOff>
      <xdr:row>78</xdr:row>
      <xdr:rowOff>55164</xdr:rowOff>
    </xdr:to>
    <xdr:sp macro="" textlink="">
      <xdr:nvSpPr>
        <xdr:cNvPr id="153" name="Isosceles Triangle 27">
          <a:extLst>
            <a:ext uri="{FF2B5EF4-FFF2-40B4-BE49-F238E27FC236}">
              <a16:creationId xmlns:a16="http://schemas.microsoft.com/office/drawing/2014/main" id="{B61E5A7B-6080-4805-8A9F-5B1ACB96BF21}"/>
            </a:ext>
          </a:extLst>
        </xdr:cNvPr>
        <xdr:cNvSpPr/>
      </xdr:nvSpPr>
      <xdr:spPr>
        <a:xfrm rot="10800000">
          <a:off x="14793015" y="30656325"/>
          <a:ext cx="185344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</xdr:col>
      <xdr:colOff>206828</xdr:colOff>
      <xdr:row>76</xdr:row>
      <xdr:rowOff>62592</xdr:rowOff>
    </xdr:from>
    <xdr:ext cx="1790042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AF981AB9-83FA-49C4-84CD-7D54BB69A152}"/>
            </a:ext>
          </a:extLst>
        </xdr:cNvPr>
        <xdr:cNvSpPr txBox="1"/>
      </xdr:nvSpPr>
      <xdr:spPr>
        <a:xfrm>
          <a:off x="14154149" y="30352092"/>
          <a:ext cx="17900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Parts Claim Start Operation</a:t>
          </a:r>
          <a:endParaRPr lang="pt-BR" sz="1100" b="1" i="1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6322</xdr:colOff>
      <xdr:row>78</xdr:row>
      <xdr:rowOff>731349</xdr:rowOff>
    </xdr:from>
    <xdr:to>
      <xdr:col>17</xdr:col>
      <xdr:colOff>7592</xdr:colOff>
      <xdr:row>79</xdr:row>
      <xdr:rowOff>15763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6397950-3ED8-1695-1E8D-AAFC03518DD5}"/>
            </a:ext>
          </a:extLst>
        </xdr:cNvPr>
        <xdr:cNvSpPr/>
      </xdr:nvSpPr>
      <xdr:spPr>
        <a:xfrm>
          <a:off x="13640679" y="31524313"/>
          <a:ext cx="314234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32</xdr:col>
      <xdr:colOff>92150</xdr:colOff>
      <xdr:row>58</xdr:row>
      <xdr:rowOff>29338</xdr:rowOff>
    </xdr:from>
    <xdr:to>
      <xdr:col>37</xdr:col>
      <xdr:colOff>181799</xdr:colOff>
      <xdr:row>62</xdr:row>
      <xdr:rowOff>85164</xdr:rowOff>
    </xdr:to>
    <xdr:grpSp>
      <xdr:nvGrpSpPr>
        <xdr:cNvPr id="162" name="Agrupar 161">
          <a:extLst>
            <a:ext uri="{FF2B5EF4-FFF2-40B4-BE49-F238E27FC236}">
              <a16:creationId xmlns:a16="http://schemas.microsoft.com/office/drawing/2014/main" id="{492F68E8-679C-451A-87FF-899EC4074819}"/>
            </a:ext>
          </a:extLst>
        </xdr:cNvPr>
        <xdr:cNvGrpSpPr/>
      </xdr:nvGrpSpPr>
      <xdr:grpSpPr>
        <a:xfrm>
          <a:off x="19769213" y="25564276"/>
          <a:ext cx="1756524" cy="976576"/>
          <a:chOff x="17122587" y="3397623"/>
          <a:chExt cx="1703295" cy="995083"/>
        </a:xfrm>
      </xdr:grpSpPr>
      <xdr:sp macro="" textlink="">
        <xdr:nvSpPr>
          <xdr:cNvPr id="163" name="Retângulo 162">
            <a:extLst>
              <a:ext uri="{FF2B5EF4-FFF2-40B4-BE49-F238E27FC236}">
                <a16:creationId xmlns:a16="http://schemas.microsoft.com/office/drawing/2014/main" id="{5B411175-BC2D-40A6-3893-1E248D9F6CE3}"/>
              </a:ext>
            </a:extLst>
          </xdr:cNvPr>
          <xdr:cNvSpPr/>
        </xdr:nvSpPr>
        <xdr:spPr>
          <a:xfrm>
            <a:off x="17122587" y="3397623"/>
            <a:ext cx="1703295" cy="9950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4" name="Retângulo 163">
            <a:extLst>
              <a:ext uri="{FF2B5EF4-FFF2-40B4-BE49-F238E27FC236}">
                <a16:creationId xmlns:a16="http://schemas.microsoft.com/office/drawing/2014/main" id="{9DB44508-3E8E-6B73-999E-42DFD49AC60E}"/>
              </a:ext>
            </a:extLst>
          </xdr:cNvPr>
          <xdr:cNvSpPr/>
        </xdr:nvSpPr>
        <xdr:spPr>
          <a:xfrm>
            <a:off x="17250448" y="3685038"/>
            <a:ext cx="1476000" cy="2392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Effort To be confirmed</a:t>
            </a:r>
          </a:p>
        </xdr:txBody>
      </xdr:sp>
      <xdr:sp macro="" textlink="">
        <xdr:nvSpPr>
          <xdr:cNvPr id="165" name="Retângulo 164">
            <a:extLst>
              <a:ext uri="{FF2B5EF4-FFF2-40B4-BE49-F238E27FC236}">
                <a16:creationId xmlns:a16="http://schemas.microsoft.com/office/drawing/2014/main" id="{2D84E73B-1F72-0DC6-DAD6-AD704BE93099}"/>
              </a:ext>
            </a:extLst>
          </xdr:cNvPr>
          <xdr:cNvSpPr/>
        </xdr:nvSpPr>
        <xdr:spPr>
          <a:xfrm>
            <a:off x="17250448" y="4007768"/>
            <a:ext cx="1476000" cy="23926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Effort confirmed</a:t>
            </a: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2EF92A48-AC50-74AD-D06B-891BC691EA61}"/>
              </a:ext>
            </a:extLst>
          </xdr:cNvPr>
          <xdr:cNvSpPr txBox="1"/>
        </xdr:nvSpPr>
        <xdr:spPr>
          <a:xfrm>
            <a:off x="17248094" y="3415553"/>
            <a:ext cx="1476000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100" b="1"/>
              <a:t>Legend</a:t>
            </a:r>
          </a:p>
        </xdr:txBody>
      </xdr:sp>
    </xdr:grpSp>
    <xdr:clientData/>
  </xdr:twoCellAnchor>
  <xdr:twoCellAnchor>
    <xdr:from>
      <xdr:col>32</xdr:col>
      <xdr:colOff>11410</xdr:colOff>
      <xdr:row>78</xdr:row>
      <xdr:rowOff>227377</xdr:rowOff>
    </xdr:from>
    <xdr:to>
      <xdr:col>37</xdr:col>
      <xdr:colOff>96984</xdr:colOff>
      <xdr:row>79</xdr:row>
      <xdr:rowOff>370813</xdr:rowOff>
    </xdr:to>
    <xdr:grpSp>
      <xdr:nvGrpSpPr>
        <xdr:cNvPr id="167" name="Agrupar 166">
          <a:extLst>
            <a:ext uri="{FF2B5EF4-FFF2-40B4-BE49-F238E27FC236}">
              <a16:creationId xmlns:a16="http://schemas.microsoft.com/office/drawing/2014/main" id="{35936F9F-B1D6-45AE-B8AB-1EB194670B6D}"/>
            </a:ext>
          </a:extLst>
        </xdr:cNvPr>
        <xdr:cNvGrpSpPr/>
      </xdr:nvGrpSpPr>
      <xdr:grpSpPr>
        <a:xfrm>
          <a:off x="19688473" y="32842565"/>
          <a:ext cx="1752449" cy="1000686"/>
          <a:chOff x="17122587" y="3397623"/>
          <a:chExt cx="1703295" cy="995083"/>
        </a:xfrm>
      </xdr:grpSpPr>
      <xdr:sp macro="" textlink="">
        <xdr:nvSpPr>
          <xdr:cNvPr id="168" name="Retângulo 167">
            <a:extLst>
              <a:ext uri="{FF2B5EF4-FFF2-40B4-BE49-F238E27FC236}">
                <a16:creationId xmlns:a16="http://schemas.microsoft.com/office/drawing/2014/main" id="{517A6DED-54A1-9C35-8294-2ECAAF18FDF1}"/>
              </a:ext>
            </a:extLst>
          </xdr:cNvPr>
          <xdr:cNvSpPr/>
        </xdr:nvSpPr>
        <xdr:spPr>
          <a:xfrm>
            <a:off x="17122587" y="3397623"/>
            <a:ext cx="1703295" cy="9950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Retângulo 168">
            <a:extLst>
              <a:ext uri="{FF2B5EF4-FFF2-40B4-BE49-F238E27FC236}">
                <a16:creationId xmlns:a16="http://schemas.microsoft.com/office/drawing/2014/main" id="{E3C99F3D-4FBD-D385-3741-6B03DD7C0919}"/>
              </a:ext>
            </a:extLst>
          </xdr:cNvPr>
          <xdr:cNvSpPr/>
        </xdr:nvSpPr>
        <xdr:spPr>
          <a:xfrm>
            <a:off x="17250448" y="3685038"/>
            <a:ext cx="1476000" cy="2392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Effort To be confirmed</a:t>
            </a:r>
          </a:p>
        </xdr:txBody>
      </xdr:sp>
      <xdr:sp macro="" textlink="">
        <xdr:nvSpPr>
          <xdr:cNvPr id="170" name="Retângulo 169">
            <a:extLst>
              <a:ext uri="{FF2B5EF4-FFF2-40B4-BE49-F238E27FC236}">
                <a16:creationId xmlns:a16="http://schemas.microsoft.com/office/drawing/2014/main" id="{C6DA3887-17C7-9907-904E-92FEB2EDA36D}"/>
              </a:ext>
            </a:extLst>
          </xdr:cNvPr>
          <xdr:cNvSpPr/>
        </xdr:nvSpPr>
        <xdr:spPr>
          <a:xfrm>
            <a:off x="17250448" y="4007768"/>
            <a:ext cx="1476000" cy="23926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Effort confirmed</a:t>
            </a:r>
          </a:p>
        </xdr:txBody>
      </xdr:sp>
      <xdr:sp macro="" textlink="">
        <xdr:nvSpPr>
          <xdr:cNvPr id="172" name="CaixaDeTexto 171">
            <a:extLst>
              <a:ext uri="{FF2B5EF4-FFF2-40B4-BE49-F238E27FC236}">
                <a16:creationId xmlns:a16="http://schemas.microsoft.com/office/drawing/2014/main" id="{57A99EF7-7BA8-B8A8-FE35-98849CC0B852}"/>
              </a:ext>
            </a:extLst>
          </xdr:cNvPr>
          <xdr:cNvSpPr txBox="1"/>
        </xdr:nvSpPr>
        <xdr:spPr>
          <a:xfrm>
            <a:off x="17248094" y="3415553"/>
            <a:ext cx="1476000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100" b="1"/>
              <a:t>Legend</a:t>
            </a:r>
          </a:p>
        </xdr:txBody>
      </xdr:sp>
    </xdr:grpSp>
    <xdr:clientData/>
  </xdr:twoCellAnchor>
  <xdr:twoCellAnchor>
    <xdr:from>
      <xdr:col>32</xdr:col>
      <xdr:colOff>152398</xdr:colOff>
      <xdr:row>87</xdr:row>
      <xdr:rowOff>913586</xdr:rowOff>
    </xdr:from>
    <xdr:to>
      <xdr:col>37</xdr:col>
      <xdr:colOff>242047</xdr:colOff>
      <xdr:row>87</xdr:row>
      <xdr:rowOff>1910300</xdr:rowOff>
    </xdr:to>
    <xdr:grpSp>
      <xdr:nvGrpSpPr>
        <xdr:cNvPr id="173" name="Agrupar 172">
          <a:extLst>
            <a:ext uri="{FF2B5EF4-FFF2-40B4-BE49-F238E27FC236}">
              <a16:creationId xmlns:a16="http://schemas.microsoft.com/office/drawing/2014/main" id="{09BA45E2-6095-4B41-BBA7-371DA6E4CE8A}"/>
            </a:ext>
          </a:extLst>
        </xdr:cNvPr>
        <xdr:cNvGrpSpPr/>
      </xdr:nvGrpSpPr>
      <xdr:grpSpPr>
        <a:xfrm>
          <a:off x="19829461" y="38751649"/>
          <a:ext cx="1756524" cy="996714"/>
          <a:chOff x="17122587" y="3397623"/>
          <a:chExt cx="1703295" cy="995083"/>
        </a:xfrm>
      </xdr:grpSpPr>
      <xdr:sp macro="" textlink="">
        <xdr:nvSpPr>
          <xdr:cNvPr id="176" name="Retângulo 175">
            <a:extLst>
              <a:ext uri="{FF2B5EF4-FFF2-40B4-BE49-F238E27FC236}">
                <a16:creationId xmlns:a16="http://schemas.microsoft.com/office/drawing/2014/main" id="{CD452517-0932-D543-8853-5141BE27C325}"/>
              </a:ext>
            </a:extLst>
          </xdr:cNvPr>
          <xdr:cNvSpPr/>
        </xdr:nvSpPr>
        <xdr:spPr>
          <a:xfrm>
            <a:off x="17122587" y="3397623"/>
            <a:ext cx="1703295" cy="9950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7" name="Retângulo 176">
            <a:extLst>
              <a:ext uri="{FF2B5EF4-FFF2-40B4-BE49-F238E27FC236}">
                <a16:creationId xmlns:a16="http://schemas.microsoft.com/office/drawing/2014/main" id="{4C6726E7-B81E-1FA0-7137-DFE8D5F42669}"/>
              </a:ext>
            </a:extLst>
          </xdr:cNvPr>
          <xdr:cNvSpPr/>
        </xdr:nvSpPr>
        <xdr:spPr>
          <a:xfrm>
            <a:off x="17250448" y="3685038"/>
            <a:ext cx="1476000" cy="2392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Effort To be confirmed</a:t>
            </a:r>
          </a:p>
        </xdr:txBody>
      </xdr:sp>
      <xdr:sp macro="" textlink="">
        <xdr:nvSpPr>
          <xdr:cNvPr id="192" name="Retângulo 191">
            <a:extLst>
              <a:ext uri="{FF2B5EF4-FFF2-40B4-BE49-F238E27FC236}">
                <a16:creationId xmlns:a16="http://schemas.microsoft.com/office/drawing/2014/main" id="{33576001-9883-D9D5-FDF6-908DB6A42BCB}"/>
              </a:ext>
            </a:extLst>
          </xdr:cNvPr>
          <xdr:cNvSpPr/>
        </xdr:nvSpPr>
        <xdr:spPr>
          <a:xfrm>
            <a:off x="17250448" y="4007768"/>
            <a:ext cx="1476000" cy="23926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Effort confirmed</a:t>
            </a:r>
          </a:p>
        </xdr:txBody>
      </xdr:sp>
      <xdr:sp macro="" textlink="">
        <xdr:nvSpPr>
          <xdr:cNvPr id="194" name="CaixaDeTexto 193">
            <a:extLst>
              <a:ext uri="{FF2B5EF4-FFF2-40B4-BE49-F238E27FC236}">
                <a16:creationId xmlns:a16="http://schemas.microsoft.com/office/drawing/2014/main" id="{8B0C543D-7285-13FF-8B88-6396CA45100B}"/>
              </a:ext>
            </a:extLst>
          </xdr:cNvPr>
          <xdr:cNvSpPr txBox="1"/>
        </xdr:nvSpPr>
        <xdr:spPr>
          <a:xfrm>
            <a:off x="17248094" y="3415553"/>
            <a:ext cx="1476000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100" b="1"/>
              <a:t>Legend</a:t>
            </a:r>
          </a:p>
        </xdr:txBody>
      </xdr:sp>
    </xdr:grpSp>
    <xdr:clientData/>
  </xdr:twoCellAnchor>
  <xdr:twoCellAnchor>
    <xdr:from>
      <xdr:col>20</xdr:col>
      <xdr:colOff>75690</xdr:colOff>
      <xdr:row>53</xdr:row>
      <xdr:rowOff>63948</xdr:rowOff>
    </xdr:from>
    <xdr:to>
      <xdr:col>20</xdr:col>
      <xdr:colOff>270799</xdr:colOff>
      <xdr:row>54</xdr:row>
      <xdr:rowOff>28432</xdr:rowOff>
    </xdr:to>
    <xdr:sp macro="" textlink="">
      <xdr:nvSpPr>
        <xdr:cNvPr id="195" name="Isosceles Triangle 27">
          <a:extLst>
            <a:ext uri="{FF2B5EF4-FFF2-40B4-BE49-F238E27FC236}">
              <a16:creationId xmlns:a16="http://schemas.microsoft.com/office/drawing/2014/main" id="{3BFDAFAA-A972-4756-9671-CD1B5D502058}"/>
            </a:ext>
          </a:extLst>
        </xdr:cNvPr>
        <xdr:cNvSpPr/>
      </xdr:nvSpPr>
      <xdr:spPr>
        <a:xfrm rot="10800000">
          <a:off x="13854443" y="14120607"/>
          <a:ext cx="195109" cy="197566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19</xdr:col>
      <xdr:colOff>268939</xdr:colOff>
      <xdr:row>51</xdr:row>
      <xdr:rowOff>89647</xdr:rowOff>
    </xdr:from>
    <xdr:ext cx="1120590" cy="436786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322F57A8-B897-4092-A47F-F1B90A08B1BE}"/>
            </a:ext>
          </a:extLst>
        </xdr:cNvPr>
        <xdr:cNvSpPr txBox="1"/>
      </xdr:nvSpPr>
      <xdr:spPr>
        <a:xfrm>
          <a:off x="13724963" y="13680141"/>
          <a:ext cx="112059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Parts Claim Start Operation</a:t>
          </a:r>
          <a:endParaRPr lang="pt-BR" sz="1100" b="1" i="1">
            <a:solidFill>
              <a:srgbClr val="FF0000"/>
            </a:solidFill>
          </a:endParaRPr>
        </a:p>
      </xdr:txBody>
    </xdr:sp>
    <xdr:clientData/>
  </xdr:oneCellAnchor>
  <xdr:twoCellAnchor>
    <xdr:from>
      <xdr:col>24</xdr:col>
      <xdr:colOff>14584</xdr:colOff>
      <xdr:row>14</xdr:row>
      <xdr:rowOff>1307570</xdr:rowOff>
    </xdr:from>
    <xdr:to>
      <xdr:col>30</xdr:col>
      <xdr:colOff>300443</xdr:colOff>
      <xdr:row>15</xdr:row>
      <xdr:rowOff>137884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4D417BF0-1528-F1D8-FFA9-7888472B67A2}"/>
            </a:ext>
          </a:extLst>
        </xdr:cNvPr>
        <xdr:cNvSpPr/>
      </xdr:nvSpPr>
      <xdr:spPr>
        <a:xfrm>
          <a:off x="16152655" y="13635641"/>
          <a:ext cx="2163645" cy="2182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 - SAP New Version</a:t>
          </a:r>
        </a:p>
      </xdr:txBody>
    </xdr:sp>
    <xdr:clientData/>
  </xdr:twoCellAnchor>
  <xdr:twoCellAnchor>
    <xdr:from>
      <xdr:col>28</xdr:col>
      <xdr:colOff>309619</xdr:colOff>
      <xdr:row>15</xdr:row>
      <xdr:rowOff>163934</xdr:rowOff>
    </xdr:from>
    <xdr:to>
      <xdr:col>35</xdr:col>
      <xdr:colOff>292279</xdr:colOff>
      <xdr:row>15</xdr:row>
      <xdr:rowOff>528416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57029B27-461D-1C60-B7B5-7E12A1A795E1}"/>
            </a:ext>
          </a:extLst>
        </xdr:cNvPr>
        <xdr:cNvSpPr/>
      </xdr:nvSpPr>
      <xdr:spPr>
        <a:xfrm>
          <a:off x="17699548" y="13879934"/>
          <a:ext cx="2173410" cy="364482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Assesment changes- Tax Reform</a:t>
          </a:r>
        </a:p>
      </xdr:txBody>
    </xdr:sp>
    <xdr:clientData/>
  </xdr:twoCellAnchor>
  <xdr:twoCellAnchor>
    <xdr:from>
      <xdr:col>33</xdr:col>
      <xdr:colOff>14585</xdr:colOff>
      <xdr:row>15</xdr:row>
      <xdr:rowOff>553898</xdr:rowOff>
    </xdr:from>
    <xdr:to>
      <xdr:col>39</xdr:col>
      <xdr:colOff>300443</xdr:colOff>
      <xdr:row>15</xdr:row>
      <xdr:rowOff>777844</xdr:rowOff>
    </xdr:to>
    <xdr:sp macro="" textlink="">
      <xdr:nvSpPr>
        <xdr:cNvPr id="200" name="Retângulo 199">
          <a:extLst>
            <a:ext uri="{FF2B5EF4-FFF2-40B4-BE49-F238E27FC236}">
              <a16:creationId xmlns:a16="http://schemas.microsoft.com/office/drawing/2014/main" id="{0D7975ED-EA5B-A643-E485-C268BBE019A6}"/>
            </a:ext>
          </a:extLst>
        </xdr:cNvPr>
        <xdr:cNvSpPr/>
      </xdr:nvSpPr>
      <xdr:spPr>
        <a:xfrm>
          <a:off x="18969335" y="14269898"/>
          <a:ext cx="2163644" cy="223946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customization - Tax Reform</a:t>
          </a:r>
        </a:p>
      </xdr:txBody>
    </xdr:sp>
    <xdr:clientData/>
  </xdr:twoCellAnchor>
  <xdr:twoCellAnchor>
    <xdr:from>
      <xdr:col>36</xdr:col>
      <xdr:colOff>292490</xdr:colOff>
      <xdr:row>15</xdr:row>
      <xdr:rowOff>800427</xdr:rowOff>
    </xdr:from>
    <xdr:to>
      <xdr:col>42</xdr:col>
      <xdr:colOff>300114</xdr:colOff>
      <xdr:row>15</xdr:row>
      <xdr:rowOff>1018669</xdr:rowOff>
    </xdr:to>
    <xdr:sp macro="" textlink="">
      <xdr:nvSpPr>
        <xdr:cNvPr id="201" name="Retângulo 200">
          <a:extLst>
            <a:ext uri="{FF2B5EF4-FFF2-40B4-BE49-F238E27FC236}">
              <a16:creationId xmlns:a16="http://schemas.microsoft.com/office/drawing/2014/main" id="{AF107586-EED8-3205-2D74-D483C555BF12}"/>
            </a:ext>
          </a:extLst>
        </xdr:cNvPr>
        <xdr:cNvSpPr/>
      </xdr:nvSpPr>
      <xdr:spPr>
        <a:xfrm>
          <a:off x="20186133" y="14516427"/>
          <a:ext cx="1885410" cy="218242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Test - Tax Reform</a:t>
          </a:r>
        </a:p>
      </xdr:txBody>
    </xdr:sp>
    <xdr:clientData/>
  </xdr:twoCellAnchor>
  <xdr:twoCellAnchor>
    <xdr:from>
      <xdr:col>22</xdr:col>
      <xdr:colOff>307046</xdr:colOff>
      <xdr:row>14</xdr:row>
      <xdr:rowOff>1306996</xdr:rowOff>
    </xdr:from>
    <xdr:to>
      <xdr:col>24</xdr:col>
      <xdr:colOff>5288</xdr:colOff>
      <xdr:row>15</xdr:row>
      <xdr:rowOff>1120516</xdr:rowOff>
    </xdr:to>
    <xdr:sp macro="" textlink="">
      <xdr:nvSpPr>
        <xdr:cNvPr id="202" name="Chave Direita 201">
          <a:extLst>
            <a:ext uri="{FF2B5EF4-FFF2-40B4-BE49-F238E27FC236}">
              <a16:creationId xmlns:a16="http://schemas.microsoft.com/office/drawing/2014/main" id="{E12A0141-036D-C216-823E-0B7671B7E546}"/>
            </a:ext>
          </a:extLst>
        </xdr:cNvPr>
        <xdr:cNvSpPr/>
      </xdr:nvSpPr>
      <xdr:spPr>
        <a:xfrm flipH="1">
          <a:off x="15819189" y="13635067"/>
          <a:ext cx="324170" cy="1201449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301277</xdr:colOff>
      <xdr:row>15</xdr:row>
      <xdr:rowOff>1114899</xdr:rowOff>
    </xdr:from>
    <xdr:to>
      <xdr:col>42</xdr:col>
      <xdr:colOff>299184</xdr:colOff>
      <xdr:row>15</xdr:row>
      <xdr:rowOff>1114899</xdr:rowOff>
    </xdr:to>
    <xdr:cxnSp macro="">
      <xdr:nvCxnSpPr>
        <xdr:cNvPr id="203" name="Conector reto 202">
          <a:extLst>
            <a:ext uri="{FF2B5EF4-FFF2-40B4-BE49-F238E27FC236}">
              <a16:creationId xmlns:a16="http://schemas.microsoft.com/office/drawing/2014/main" id="{FC332E8C-981C-8287-630D-7E23825B7B86}"/>
            </a:ext>
          </a:extLst>
        </xdr:cNvPr>
        <xdr:cNvCxnSpPr/>
      </xdr:nvCxnSpPr>
      <xdr:spPr>
        <a:xfrm>
          <a:off x="16126384" y="14830899"/>
          <a:ext cx="5944229" cy="0"/>
        </a:xfrm>
        <a:prstGeom prst="line">
          <a:avLst/>
        </a:prstGeom>
        <a:ln w="190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248568</xdr:colOff>
      <xdr:row>14</xdr:row>
      <xdr:rowOff>1329744</xdr:rowOff>
    </xdr:from>
    <xdr:ext cx="3528000" cy="1125693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7C7E20A-BBDB-72EB-F633-0D28BCFB43B1}"/>
            </a:ext>
          </a:extLst>
        </xdr:cNvPr>
        <xdr:cNvSpPr txBox="1"/>
      </xdr:nvSpPr>
      <xdr:spPr>
        <a:xfrm>
          <a:off x="12318104" y="13657815"/>
          <a:ext cx="3528000" cy="112569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ysClr val="windowText" lastClr="000000"/>
              </a:solidFill>
            </a:rPr>
            <a:t>Plan A</a:t>
          </a:r>
        </a:p>
        <a:p>
          <a:r>
            <a:rPr lang="pt-BR" sz="1100" b="0">
              <a:solidFill>
                <a:sysClr val="windowText" lastClr="000000"/>
              </a:solidFill>
            </a:rPr>
            <a:t>-</a:t>
          </a:r>
          <a:r>
            <a:rPr lang="pt-BR" sz="1100" b="0" baseline="0">
              <a:solidFill>
                <a:sysClr val="windowText" lastClr="000000"/>
              </a:solidFill>
            </a:rPr>
            <a:t> We need to keep with the Wholes Sales Resource due to knowledge of the system.</a:t>
          </a:r>
        </a:p>
        <a:p>
          <a:endParaRPr lang="pt-BR" sz="1100" b="0" baseline="0">
            <a:solidFill>
              <a:sysClr val="windowText" lastClr="000000"/>
            </a:solidFill>
          </a:endParaRPr>
        </a:p>
        <a:p>
          <a:r>
            <a:rPr lang="pt-BR" sz="1100" b="0" baseline="0">
              <a:solidFill>
                <a:sysClr val="windowText" lastClr="000000"/>
              </a:solidFill>
            </a:rPr>
            <a:t>- Hiring new resources increase A LOT the risk of delay tax reform project.</a:t>
          </a:r>
          <a:endParaRPr lang="pt-BR" sz="1100" b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11051</xdr:colOff>
      <xdr:row>14</xdr:row>
      <xdr:rowOff>1283485</xdr:rowOff>
    </xdr:from>
    <xdr:ext cx="5398990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E49C22EA-4594-9ED3-6123-10B3A7E49AC3}"/>
            </a:ext>
          </a:extLst>
        </xdr:cNvPr>
        <xdr:cNvSpPr txBox="1"/>
      </xdr:nvSpPr>
      <xdr:spPr>
        <a:xfrm>
          <a:off x="18339872" y="13611556"/>
          <a:ext cx="539899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pt-BR" sz="1100" b="0">
              <a:solidFill>
                <a:schemeClr val="tx1"/>
              </a:solidFill>
            </a:rPr>
            <a:t>&lt;=</a:t>
          </a:r>
          <a:r>
            <a:rPr lang="pt-BR" sz="1100" b="0" baseline="0">
              <a:solidFill>
                <a:schemeClr val="tx1"/>
              </a:solidFill>
            </a:rPr>
            <a:t> </a:t>
          </a:r>
          <a:r>
            <a:rPr lang="pt-BR" sz="1100" b="0">
              <a:solidFill>
                <a:schemeClr val="tx1"/>
              </a:solidFill>
            </a:rPr>
            <a:t>Keep </a:t>
          </a:r>
          <a:r>
            <a:rPr lang="pt-BR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Whole Sales </a:t>
          </a:r>
          <a:r>
            <a:rPr lang="pt-BR" sz="1100" b="0">
              <a:solidFill>
                <a:schemeClr val="tx1"/>
              </a:solidFill>
            </a:rPr>
            <a:t>resources + 1 Full Stack --</a:t>
          </a:r>
          <a:r>
            <a:rPr lang="pt-BR" sz="1100" b="0" baseline="0">
              <a:solidFill>
                <a:schemeClr val="tx1"/>
              </a:solidFill>
            </a:rPr>
            <a:t> 592Hrs -&gt; 3,7 </a:t>
          </a:r>
          <a:r>
            <a:rPr lang="pt-BR" sz="1100" b="1" i="1" baseline="0">
              <a:solidFill>
                <a:schemeClr val="tx1"/>
              </a:solidFill>
            </a:rPr>
            <a:t>Rec</a:t>
          </a:r>
          <a:r>
            <a:rPr lang="pt-BR" sz="1100" b="0" baseline="0">
              <a:solidFill>
                <a:schemeClr val="tx1"/>
              </a:solidFill>
            </a:rPr>
            <a:t> </a:t>
          </a:r>
          <a:r>
            <a:rPr lang="pt-BR" sz="1100" b="1" i="1" baseline="0">
              <a:solidFill>
                <a:schemeClr val="tx1"/>
              </a:solidFill>
            </a:rPr>
            <a:t>(2,5/m)</a:t>
          </a:r>
          <a:r>
            <a:rPr lang="pt-BR" sz="1100" b="0" baseline="0">
              <a:solidFill>
                <a:schemeClr val="tx1"/>
              </a:solidFill>
            </a:rPr>
            <a:t> -&gt; R$ 117K</a:t>
          </a:r>
          <a:endParaRPr lang="pt-BR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28979</xdr:colOff>
      <xdr:row>15</xdr:row>
      <xdr:rowOff>233366</xdr:rowOff>
    </xdr:from>
    <xdr:ext cx="2664000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293F930D-F617-0635-836D-5B12751828F1}"/>
            </a:ext>
          </a:extLst>
        </xdr:cNvPr>
        <xdr:cNvSpPr txBox="1"/>
      </xdr:nvSpPr>
      <xdr:spPr>
        <a:xfrm>
          <a:off x="19922622" y="13949366"/>
          <a:ext cx="266400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pt-BR" sz="1100" b="0">
              <a:solidFill>
                <a:schemeClr val="tx1"/>
              </a:solidFill>
            </a:rPr>
            <a:t>&lt;=</a:t>
          </a:r>
          <a:r>
            <a:rPr lang="pt-BR" sz="1100" b="0" baseline="0">
              <a:solidFill>
                <a:schemeClr val="tx1"/>
              </a:solidFill>
            </a:rPr>
            <a:t> 300Hrs -&gt; 1,85 </a:t>
          </a:r>
          <a:r>
            <a:rPr lang="pt-BR" sz="1100" b="1" i="1" baseline="0">
              <a:solidFill>
                <a:schemeClr val="tx1"/>
              </a:solidFill>
            </a:rPr>
            <a:t>Rec</a:t>
          </a:r>
          <a:r>
            <a:rPr lang="pt-BR" sz="1100" b="0" baseline="0">
              <a:solidFill>
                <a:schemeClr val="tx1"/>
              </a:solidFill>
            </a:rPr>
            <a:t> </a:t>
          </a:r>
          <a:r>
            <a:rPr lang="pt-BR" sz="1100" b="1" i="1" baseline="0">
              <a:solidFill>
                <a:schemeClr val="tx1"/>
              </a:solidFill>
            </a:rPr>
            <a:t>(1,2/m)</a:t>
          </a:r>
          <a:r>
            <a:rPr lang="pt-BR" sz="1100" b="0" baseline="0">
              <a:solidFill>
                <a:schemeClr val="tx1"/>
              </a:solidFill>
            </a:rPr>
            <a:t> -&gt; R$ 59K</a:t>
          </a:r>
          <a:endParaRPr lang="pt-BR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11050</xdr:colOff>
      <xdr:row>15</xdr:row>
      <xdr:rowOff>532357</xdr:rowOff>
    </xdr:from>
    <xdr:ext cx="2376000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3F4492B6-D06A-0E1B-3AB8-03268FD75237}"/>
            </a:ext>
          </a:extLst>
        </xdr:cNvPr>
        <xdr:cNvSpPr txBox="1"/>
      </xdr:nvSpPr>
      <xdr:spPr>
        <a:xfrm>
          <a:off x="21156550" y="14248357"/>
          <a:ext cx="237600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pt-BR" sz="1100" b="0">
              <a:solidFill>
                <a:schemeClr val="tx1"/>
              </a:solidFill>
            </a:rPr>
            <a:t>&lt;=</a:t>
          </a:r>
          <a:r>
            <a:rPr lang="pt-BR" sz="1100" b="0" baseline="0">
              <a:solidFill>
                <a:schemeClr val="tx1"/>
              </a:solidFill>
            </a:rPr>
            <a:t> 976Hrs -&gt; 6 </a:t>
          </a:r>
          <a:r>
            <a:rPr lang="pt-BR" sz="1100" b="1" i="1" baseline="0">
              <a:solidFill>
                <a:schemeClr val="tx1"/>
              </a:solidFill>
            </a:rPr>
            <a:t>Rec</a:t>
          </a:r>
          <a:r>
            <a:rPr lang="pt-BR" sz="1100" b="0" baseline="0">
              <a:solidFill>
                <a:schemeClr val="tx1"/>
              </a:solidFill>
            </a:rPr>
            <a:t> </a:t>
          </a:r>
          <a:r>
            <a:rPr lang="pt-BR" sz="1100" b="1" i="1" baseline="0">
              <a:solidFill>
                <a:schemeClr val="tx1"/>
              </a:solidFill>
            </a:rPr>
            <a:t>(3/M)</a:t>
          </a:r>
          <a:r>
            <a:rPr lang="pt-BR" sz="1100" b="0" baseline="0">
              <a:solidFill>
                <a:schemeClr val="tx1"/>
              </a:solidFill>
            </a:rPr>
            <a:t> -&gt; R$ 193.5K</a:t>
          </a:r>
          <a:endParaRPr lang="pt-BR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43</xdr:col>
      <xdr:colOff>2084</xdr:colOff>
      <xdr:row>15</xdr:row>
      <xdr:rowOff>791315</xdr:rowOff>
    </xdr:from>
    <xdr:ext cx="2754403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03CFFDDD-B8E0-0330-AC17-A0AF3490F194}"/>
            </a:ext>
          </a:extLst>
        </xdr:cNvPr>
        <xdr:cNvSpPr txBox="1"/>
      </xdr:nvSpPr>
      <xdr:spPr>
        <a:xfrm>
          <a:off x="22086477" y="14507315"/>
          <a:ext cx="275440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pt-BR" sz="1100" b="0">
              <a:solidFill>
                <a:schemeClr val="tx1"/>
              </a:solidFill>
            </a:rPr>
            <a:t>&lt;=</a:t>
          </a:r>
          <a:r>
            <a:rPr lang="pt-BR" sz="1100" b="0" baseline="0">
              <a:solidFill>
                <a:schemeClr val="tx1"/>
              </a:solidFill>
            </a:rPr>
            <a:t> 488,4Hrs -&gt;  3 </a:t>
          </a:r>
          <a:r>
            <a:rPr lang="pt-BR" sz="1100" b="1" i="1" baseline="0">
              <a:solidFill>
                <a:schemeClr val="tx1"/>
              </a:solidFill>
            </a:rPr>
            <a:t>Rec (1,5/M) </a:t>
          </a:r>
          <a:r>
            <a:rPr lang="pt-BR" sz="1100" b="0" baseline="0">
              <a:solidFill>
                <a:schemeClr val="tx1"/>
              </a:solidFill>
            </a:rPr>
            <a:t>-&gt; R$ 95.5K</a:t>
          </a:r>
          <a:endParaRPr lang="pt-BR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32</xdr:col>
      <xdr:colOff>124687</xdr:colOff>
      <xdr:row>95</xdr:row>
      <xdr:rowOff>470242</xdr:rowOff>
    </xdr:from>
    <xdr:to>
      <xdr:col>37</xdr:col>
      <xdr:colOff>214336</xdr:colOff>
      <xdr:row>96</xdr:row>
      <xdr:rowOff>607974</xdr:rowOff>
    </xdr:to>
    <xdr:grpSp>
      <xdr:nvGrpSpPr>
        <xdr:cNvPr id="214" name="Agrupar 213">
          <a:extLst>
            <a:ext uri="{FF2B5EF4-FFF2-40B4-BE49-F238E27FC236}">
              <a16:creationId xmlns:a16="http://schemas.microsoft.com/office/drawing/2014/main" id="{5A617C34-09CD-6D21-A903-22984F02112E}"/>
            </a:ext>
          </a:extLst>
        </xdr:cNvPr>
        <xdr:cNvGrpSpPr/>
      </xdr:nvGrpSpPr>
      <xdr:grpSpPr>
        <a:xfrm>
          <a:off x="19801750" y="44555117"/>
          <a:ext cx="1756524" cy="994982"/>
          <a:chOff x="17122587" y="3397623"/>
          <a:chExt cx="1703295" cy="995083"/>
        </a:xfrm>
      </xdr:grpSpPr>
      <xdr:sp macro="" textlink="">
        <xdr:nvSpPr>
          <xdr:cNvPr id="215" name="Retângulo 214">
            <a:extLst>
              <a:ext uri="{FF2B5EF4-FFF2-40B4-BE49-F238E27FC236}">
                <a16:creationId xmlns:a16="http://schemas.microsoft.com/office/drawing/2014/main" id="{DA3B6A9A-C5E2-ED09-B5DD-9A6C33DFE10D}"/>
              </a:ext>
            </a:extLst>
          </xdr:cNvPr>
          <xdr:cNvSpPr/>
        </xdr:nvSpPr>
        <xdr:spPr>
          <a:xfrm>
            <a:off x="17122587" y="3397623"/>
            <a:ext cx="1703295" cy="9950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2" name="Retângulo 221">
            <a:extLst>
              <a:ext uri="{FF2B5EF4-FFF2-40B4-BE49-F238E27FC236}">
                <a16:creationId xmlns:a16="http://schemas.microsoft.com/office/drawing/2014/main" id="{9BCC2B78-639A-7ECD-5A31-A3C2AE60FB1E}"/>
              </a:ext>
            </a:extLst>
          </xdr:cNvPr>
          <xdr:cNvSpPr/>
        </xdr:nvSpPr>
        <xdr:spPr>
          <a:xfrm>
            <a:off x="17250448" y="3685038"/>
            <a:ext cx="1476000" cy="2392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Effort To be confirmed</a:t>
            </a:r>
          </a:p>
        </xdr:txBody>
      </xdr:sp>
      <xdr:sp macro="" textlink="">
        <xdr:nvSpPr>
          <xdr:cNvPr id="223" name="Retângulo 222">
            <a:extLst>
              <a:ext uri="{FF2B5EF4-FFF2-40B4-BE49-F238E27FC236}">
                <a16:creationId xmlns:a16="http://schemas.microsoft.com/office/drawing/2014/main" id="{79B497E9-DAFD-6FDC-6E91-563F65E23D06}"/>
              </a:ext>
            </a:extLst>
          </xdr:cNvPr>
          <xdr:cNvSpPr/>
        </xdr:nvSpPr>
        <xdr:spPr>
          <a:xfrm>
            <a:off x="17250448" y="4007768"/>
            <a:ext cx="1476000" cy="23926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Effort confirmed</a:t>
            </a:r>
          </a:p>
        </xdr:txBody>
      </xdr:sp>
      <xdr:sp macro="" textlink="">
        <xdr:nvSpPr>
          <xdr:cNvPr id="224" name="CaixaDeTexto 223">
            <a:extLst>
              <a:ext uri="{FF2B5EF4-FFF2-40B4-BE49-F238E27FC236}">
                <a16:creationId xmlns:a16="http://schemas.microsoft.com/office/drawing/2014/main" id="{D28946B1-D724-4844-3772-B625BBFFFDDB}"/>
              </a:ext>
            </a:extLst>
          </xdr:cNvPr>
          <xdr:cNvSpPr txBox="1"/>
        </xdr:nvSpPr>
        <xdr:spPr>
          <a:xfrm>
            <a:off x="17248094" y="3415553"/>
            <a:ext cx="1476000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100" b="1"/>
              <a:t>Legend</a:t>
            </a:r>
          </a:p>
        </xdr:txBody>
      </xdr:sp>
    </xdr:grpSp>
    <xdr:clientData/>
  </xdr:twoCellAnchor>
  <xdr:twoCellAnchor>
    <xdr:from>
      <xdr:col>15</xdr:col>
      <xdr:colOff>25498</xdr:colOff>
      <xdr:row>92</xdr:row>
      <xdr:rowOff>69140</xdr:rowOff>
    </xdr:from>
    <xdr:to>
      <xdr:col>15</xdr:col>
      <xdr:colOff>25498</xdr:colOff>
      <xdr:row>97</xdr:row>
      <xdr:rowOff>44824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F9FAE234-1C00-4816-8912-6866151DCCFB}"/>
            </a:ext>
          </a:extLst>
        </xdr:cNvPr>
        <xdr:cNvCxnSpPr/>
      </xdr:nvCxnSpPr>
      <xdr:spPr>
        <a:xfrm>
          <a:off x="12217498" y="8529581"/>
          <a:ext cx="0" cy="6329419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316443</xdr:colOff>
      <xdr:row>75</xdr:row>
      <xdr:rowOff>27709</xdr:rowOff>
    </xdr:from>
    <xdr:to>
      <xdr:col>14</xdr:col>
      <xdr:colOff>316443</xdr:colOff>
      <xdr:row>80</xdr:row>
      <xdr:rowOff>13854</xdr:rowOff>
    </xdr:to>
    <xdr:cxnSp macro="">
      <xdr:nvCxnSpPr>
        <xdr:cNvPr id="233" name="Conector reto 232">
          <a:extLst>
            <a:ext uri="{FF2B5EF4-FFF2-40B4-BE49-F238E27FC236}">
              <a16:creationId xmlns:a16="http://schemas.microsoft.com/office/drawing/2014/main" id="{C9A8E001-F9F6-78DF-395C-1C1D30B7A27F}"/>
            </a:ext>
          </a:extLst>
        </xdr:cNvPr>
        <xdr:cNvCxnSpPr/>
      </xdr:nvCxnSpPr>
      <xdr:spPr>
        <a:xfrm>
          <a:off x="12120516" y="22984691"/>
          <a:ext cx="0" cy="3768436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312293</xdr:colOff>
      <xdr:row>3</xdr:row>
      <xdr:rowOff>355147</xdr:rowOff>
    </xdr:from>
    <xdr:to>
      <xdr:col>20</xdr:col>
      <xdr:colOff>0</xdr:colOff>
      <xdr:row>3</xdr:row>
      <xdr:rowOff>505516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F374E914-0BB3-4D88-A3A1-8BE2042039D0}"/>
            </a:ext>
          </a:extLst>
        </xdr:cNvPr>
        <xdr:cNvCxnSpPr>
          <a:endCxn id="4" idx="3"/>
        </xdr:cNvCxnSpPr>
      </xdr:nvCxnSpPr>
      <xdr:spPr>
        <a:xfrm flipH="1">
          <a:off x="14266418" y="2403022"/>
          <a:ext cx="630682" cy="150369"/>
        </a:xfrm>
        <a:prstGeom prst="line">
          <a:avLst/>
        </a:prstGeom>
        <a:ln w="25400">
          <a:solidFill>
            <a:srgbClr val="EE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312293</xdr:colOff>
      <xdr:row>3</xdr:row>
      <xdr:rowOff>505516</xdr:rowOff>
    </xdr:from>
    <xdr:to>
      <xdr:col>19</xdr:col>
      <xdr:colOff>272143</xdr:colOff>
      <xdr:row>3</xdr:row>
      <xdr:rowOff>644979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376918CA-073F-468B-9E4F-299314675BD8}"/>
            </a:ext>
          </a:extLst>
        </xdr:cNvPr>
        <xdr:cNvCxnSpPr>
          <a:endCxn id="4" idx="3"/>
        </xdr:cNvCxnSpPr>
      </xdr:nvCxnSpPr>
      <xdr:spPr>
        <a:xfrm flipH="1" flipV="1">
          <a:off x="14266418" y="2553391"/>
          <a:ext cx="588500" cy="139463"/>
        </a:xfrm>
        <a:prstGeom prst="line">
          <a:avLst/>
        </a:prstGeom>
        <a:ln w="25400">
          <a:solidFill>
            <a:srgbClr val="EE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6288</xdr:colOff>
      <xdr:row>1</xdr:row>
      <xdr:rowOff>244927</xdr:rowOff>
    </xdr:from>
    <xdr:to>
      <xdr:col>20</xdr:col>
      <xdr:colOff>6288</xdr:colOff>
      <xdr:row>3</xdr:row>
      <xdr:rowOff>342900</xdr:rowOff>
    </xdr:to>
    <xdr:cxnSp macro="">
      <xdr:nvCxnSpPr>
        <xdr:cNvPr id="94" name="Conector reto 93">
          <a:extLst>
            <a:ext uri="{FF2B5EF4-FFF2-40B4-BE49-F238E27FC236}">
              <a16:creationId xmlns:a16="http://schemas.microsoft.com/office/drawing/2014/main" id="{5F3DCEE7-A6AF-37A2-952D-E6D8708D6C2E}"/>
            </a:ext>
          </a:extLst>
        </xdr:cNvPr>
        <xdr:cNvCxnSpPr/>
      </xdr:nvCxnSpPr>
      <xdr:spPr>
        <a:xfrm>
          <a:off x="14903388" y="1283152"/>
          <a:ext cx="0" cy="1107623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3321</xdr:colOff>
      <xdr:row>4</xdr:row>
      <xdr:rowOff>30867</xdr:rowOff>
    </xdr:from>
    <xdr:to>
      <xdr:col>19</xdr:col>
      <xdr:colOff>299357</xdr:colOff>
      <xdr:row>4</xdr:row>
      <xdr:rowOff>167368</xdr:rowOff>
    </xdr:to>
    <xdr:cxnSp macro="">
      <xdr:nvCxnSpPr>
        <xdr:cNvPr id="139" name="Conector reto 138">
          <a:extLst>
            <a:ext uri="{FF2B5EF4-FFF2-40B4-BE49-F238E27FC236}">
              <a16:creationId xmlns:a16="http://schemas.microsoft.com/office/drawing/2014/main" id="{6D7A08F0-67A3-2F0E-33E9-A078438230C6}"/>
            </a:ext>
          </a:extLst>
        </xdr:cNvPr>
        <xdr:cNvCxnSpPr>
          <a:endCxn id="5" idx="3"/>
        </xdr:cNvCxnSpPr>
      </xdr:nvCxnSpPr>
      <xdr:spPr>
        <a:xfrm flipH="1" flipV="1">
          <a:off x="14271771" y="2840742"/>
          <a:ext cx="610361" cy="136501"/>
        </a:xfrm>
        <a:prstGeom prst="line">
          <a:avLst/>
        </a:prstGeom>
        <a:ln w="25400">
          <a:solidFill>
            <a:srgbClr val="EE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3321</xdr:colOff>
      <xdr:row>3</xdr:row>
      <xdr:rowOff>657225</xdr:rowOff>
    </xdr:from>
    <xdr:to>
      <xdr:col>19</xdr:col>
      <xdr:colOff>285751</xdr:colOff>
      <xdr:row>4</xdr:row>
      <xdr:rowOff>30867</xdr:rowOff>
    </xdr:to>
    <xdr:cxnSp macro="">
      <xdr:nvCxnSpPr>
        <xdr:cNvPr id="140" name="Conector reto 139">
          <a:extLst>
            <a:ext uri="{FF2B5EF4-FFF2-40B4-BE49-F238E27FC236}">
              <a16:creationId xmlns:a16="http://schemas.microsoft.com/office/drawing/2014/main" id="{544E92C8-C490-0EA1-4368-B24DEA5B3317}"/>
            </a:ext>
          </a:extLst>
        </xdr:cNvPr>
        <xdr:cNvCxnSpPr>
          <a:endCxn id="5" idx="3"/>
        </xdr:cNvCxnSpPr>
      </xdr:nvCxnSpPr>
      <xdr:spPr>
        <a:xfrm flipH="1">
          <a:off x="14271771" y="2705100"/>
          <a:ext cx="596755" cy="135642"/>
        </a:xfrm>
        <a:prstGeom prst="line">
          <a:avLst/>
        </a:prstGeom>
        <a:ln w="25400">
          <a:solidFill>
            <a:srgbClr val="EE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7434</xdr:colOff>
      <xdr:row>2</xdr:row>
      <xdr:rowOff>331578</xdr:rowOff>
    </xdr:from>
    <xdr:to>
      <xdr:col>40</xdr:col>
      <xdr:colOff>97083</xdr:colOff>
      <xdr:row>4</xdr:row>
      <xdr:rowOff>466725</xdr:rowOff>
    </xdr:to>
    <xdr:grpSp>
      <xdr:nvGrpSpPr>
        <xdr:cNvPr id="143" name="Agrupar 142">
          <a:extLst>
            <a:ext uri="{FF2B5EF4-FFF2-40B4-BE49-F238E27FC236}">
              <a16:creationId xmlns:a16="http://schemas.microsoft.com/office/drawing/2014/main" id="{39401BF7-4A9C-A85F-CBD7-EECC4A2C051D}"/>
            </a:ext>
          </a:extLst>
        </xdr:cNvPr>
        <xdr:cNvGrpSpPr/>
      </xdr:nvGrpSpPr>
      <xdr:grpSpPr>
        <a:xfrm>
          <a:off x="20684622" y="1601578"/>
          <a:ext cx="1756524" cy="1659147"/>
          <a:chOff x="18281827" y="1708621"/>
          <a:chExt cx="1654470" cy="1421022"/>
        </a:xfrm>
      </xdr:grpSpPr>
      <xdr:sp macro="" textlink="">
        <xdr:nvSpPr>
          <xdr:cNvPr id="160" name="Retângulo 159">
            <a:extLst>
              <a:ext uri="{FF2B5EF4-FFF2-40B4-BE49-F238E27FC236}">
                <a16:creationId xmlns:a16="http://schemas.microsoft.com/office/drawing/2014/main" id="{FBF2A2AD-F704-8B5D-A041-024840A6CB6A}"/>
              </a:ext>
            </a:extLst>
          </xdr:cNvPr>
          <xdr:cNvSpPr/>
        </xdr:nvSpPr>
        <xdr:spPr>
          <a:xfrm>
            <a:off x="18281827" y="1708621"/>
            <a:ext cx="1654470" cy="142102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7" name="Retângulo 156">
            <a:extLst>
              <a:ext uri="{FF2B5EF4-FFF2-40B4-BE49-F238E27FC236}">
                <a16:creationId xmlns:a16="http://schemas.microsoft.com/office/drawing/2014/main" id="{D458EF07-6E6C-AAA9-E58D-D9342161FB9B}"/>
              </a:ext>
            </a:extLst>
          </xdr:cNvPr>
          <xdr:cNvSpPr/>
        </xdr:nvSpPr>
        <xdr:spPr>
          <a:xfrm>
            <a:off x="18406023" y="1994388"/>
            <a:ext cx="1433690" cy="2378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Effort To be confirmed</a:t>
            </a:r>
          </a:p>
        </xdr:txBody>
      </xdr:sp>
      <xdr:sp macro="" textlink="">
        <xdr:nvSpPr>
          <xdr:cNvPr id="158" name="Retângulo 157">
            <a:extLst>
              <a:ext uri="{FF2B5EF4-FFF2-40B4-BE49-F238E27FC236}">
                <a16:creationId xmlns:a16="http://schemas.microsoft.com/office/drawing/2014/main" id="{FE3C1D8A-3185-B913-E76A-DCDE257B5F00}"/>
              </a:ext>
            </a:extLst>
          </xdr:cNvPr>
          <xdr:cNvSpPr/>
        </xdr:nvSpPr>
        <xdr:spPr>
          <a:xfrm>
            <a:off x="18406023" y="2315268"/>
            <a:ext cx="1433690" cy="23789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Effort confirmed</a:t>
            </a:r>
          </a:p>
        </xdr:txBody>
      </xdr:sp>
      <xdr:sp macro="" textlink="">
        <xdr:nvSpPr>
          <xdr:cNvPr id="159" name="CaixaDeTexto 158">
            <a:extLst>
              <a:ext uri="{FF2B5EF4-FFF2-40B4-BE49-F238E27FC236}">
                <a16:creationId xmlns:a16="http://schemas.microsoft.com/office/drawing/2014/main" id="{061AC522-49FD-9D07-8E2B-F94EDF695459}"/>
              </a:ext>
            </a:extLst>
          </xdr:cNvPr>
          <xdr:cNvSpPr txBox="1"/>
        </xdr:nvSpPr>
        <xdr:spPr>
          <a:xfrm>
            <a:off x="18403736" y="1726448"/>
            <a:ext cx="1433690" cy="26304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/>
              <a:t>Legend</a:t>
            </a:r>
          </a:p>
        </xdr:txBody>
      </xdr:sp>
      <xdr:sp macro="" textlink="">
        <xdr:nvSpPr>
          <xdr:cNvPr id="142" name="Retângulo 141">
            <a:extLst>
              <a:ext uri="{FF2B5EF4-FFF2-40B4-BE49-F238E27FC236}">
                <a16:creationId xmlns:a16="http://schemas.microsoft.com/office/drawing/2014/main" id="{C9D65437-1C26-002C-EA92-52CCA6A85CA0}"/>
              </a:ext>
            </a:extLst>
          </xdr:cNvPr>
          <xdr:cNvSpPr/>
        </xdr:nvSpPr>
        <xdr:spPr>
          <a:xfrm>
            <a:off x="18406023" y="2641839"/>
            <a:ext cx="1433690" cy="237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5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Delivered</a:t>
            </a:r>
          </a:p>
        </xdr:txBody>
      </xdr:sp>
    </xdr:grpSp>
    <xdr:clientData/>
  </xdr:twoCellAnchor>
  <xdr:twoCellAnchor>
    <xdr:from>
      <xdr:col>16</xdr:col>
      <xdr:colOff>743</xdr:colOff>
      <xdr:row>8</xdr:row>
      <xdr:rowOff>795618</xdr:rowOff>
    </xdr:from>
    <xdr:to>
      <xdr:col>28</xdr:col>
      <xdr:colOff>303567</xdr:colOff>
      <xdr:row>9</xdr:row>
      <xdr:rowOff>157652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1E93273A-617B-4294-A353-98328D75CEF0}"/>
            </a:ext>
          </a:extLst>
        </xdr:cNvPr>
        <xdr:cNvSpPr/>
      </xdr:nvSpPr>
      <xdr:spPr>
        <a:xfrm>
          <a:off x="13627096" y="7003677"/>
          <a:ext cx="4068000" cy="2472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SAP - Whole Sales Phase I</a:t>
          </a:r>
        </a:p>
      </xdr:txBody>
    </xdr:sp>
    <xdr:clientData/>
  </xdr:twoCellAnchor>
  <xdr:twoCellAnchor>
    <xdr:from>
      <xdr:col>16</xdr:col>
      <xdr:colOff>0</xdr:colOff>
      <xdr:row>9</xdr:row>
      <xdr:rowOff>158873</xdr:rowOff>
    </xdr:from>
    <xdr:to>
      <xdr:col>18</xdr:col>
      <xdr:colOff>272471</xdr:colOff>
      <xdr:row>9</xdr:row>
      <xdr:rowOff>310493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37852041-B14C-4A71-BEFE-86F037557D92}"/>
            </a:ext>
          </a:extLst>
        </xdr:cNvPr>
        <xdr:cNvSpPr/>
      </xdr:nvSpPr>
      <xdr:spPr>
        <a:xfrm>
          <a:off x="13626353" y="7252197"/>
          <a:ext cx="900000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 Req.</a:t>
          </a:r>
        </a:p>
      </xdr:txBody>
    </xdr:sp>
    <xdr:clientData/>
  </xdr:twoCellAnchor>
  <xdr:twoCellAnchor>
    <xdr:from>
      <xdr:col>18</xdr:col>
      <xdr:colOff>304458</xdr:colOff>
      <xdr:row>9</xdr:row>
      <xdr:rowOff>157921</xdr:rowOff>
    </xdr:from>
    <xdr:to>
      <xdr:col>24</xdr:col>
      <xdr:colOff>257870</xdr:colOff>
      <xdr:row>9</xdr:row>
      <xdr:rowOff>313351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D2FD6896-D830-479D-808C-196177F94BDA}"/>
            </a:ext>
          </a:extLst>
        </xdr:cNvPr>
        <xdr:cNvSpPr/>
      </xdr:nvSpPr>
      <xdr:spPr>
        <a:xfrm>
          <a:off x="14558340" y="7251245"/>
          <a:ext cx="1836001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24</xdr:col>
      <xdr:colOff>294942</xdr:colOff>
      <xdr:row>9</xdr:row>
      <xdr:rowOff>157921</xdr:rowOff>
    </xdr:from>
    <xdr:to>
      <xdr:col>26</xdr:col>
      <xdr:colOff>273922</xdr:colOff>
      <xdr:row>9</xdr:row>
      <xdr:rowOff>313351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7EF9FDF1-4394-469A-AF38-4EFFF6A95158}"/>
            </a:ext>
          </a:extLst>
        </xdr:cNvPr>
        <xdr:cNvSpPr/>
      </xdr:nvSpPr>
      <xdr:spPr>
        <a:xfrm>
          <a:off x="16431413" y="7251245"/>
          <a:ext cx="606509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Test</a:t>
          </a:r>
        </a:p>
      </xdr:txBody>
    </xdr:sp>
    <xdr:clientData/>
  </xdr:twoCellAnchor>
  <xdr:twoCellAnchor>
    <xdr:from>
      <xdr:col>27</xdr:col>
      <xdr:colOff>15021</xdr:colOff>
      <xdr:row>9</xdr:row>
      <xdr:rowOff>157921</xdr:rowOff>
    </xdr:from>
    <xdr:to>
      <xdr:col>28</xdr:col>
      <xdr:colOff>307188</xdr:colOff>
      <xdr:row>9</xdr:row>
      <xdr:rowOff>313351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16D54E3F-2D69-4F02-B975-9FBEA068226E}"/>
            </a:ext>
          </a:extLst>
        </xdr:cNvPr>
        <xdr:cNvSpPr/>
      </xdr:nvSpPr>
      <xdr:spPr>
        <a:xfrm>
          <a:off x="17092786" y="7251245"/>
          <a:ext cx="605931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UAT</a:t>
          </a:r>
        </a:p>
      </xdr:txBody>
    </xdr:sp>
    <xdr:clientData/>
  </xdr:twoCellAnchor>
  <xdr:twoCellAnchor>
    <xdr:from>
      <xdr:col>25</xdr:col>
      <xdr:colOff>10423</xdr:colOff>
      <xdr:row>8</xdr:row>
      <xdr:rowOff>518808</xdr:rowOff>
    </xdr:from>
    <xdr:to>
      <xdr:col>26</xdr:col>
      <xdr:colOff>303168</xdr:colOff>
      <xdr:row>8</xdr:row>
      <xdr:rowOff>655029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C4233D3D-CC05-4E22-AF1E-4130CF6F52A5}"/>
            </a:ext>
          </a:extLst>
        </xdr:cNvPr>
        <xdr:cNvSpPr/>
      </xdr:nvSpPr>
      <xdr:spPr>
        <a:xfrm>
          <a:off x="16460658" y="6726867"/>
          <a:ext cx="606510" cy="13622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 Test</a:t>
          </a:r>
        </a:p>
      </xdr:txBody>
    </xdr:sp>
    <xdr:clientData/>
  </xdr:twoCellAnchor>
  <xdr:twoCellAnchor>
    <xdr:from>
      <xdr:col>5</xdr:col>
      <xdr:colOff>8045</xdr:colOff>
      <xdr:row>16</xdr:row>
      <xdr:rowOff>392228</xdr:rowOff>
    </xdr:from>
    <xdr:to>
      <xdr:col>17</xdr:col>
      <xdr:colOff>23292</xdr:colOff>
      <xdr:row>16</xdr:row>
      <xdr:rowOff>646731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F4BE5B42-3EA5-4A6B-8E60-498AF3380694}"/>
            </a:ext>
          </a:extLst>
        </xdr:cNvPr>
        <xdr:cNvSpPr/>
      </xdr:nvSpPr>
      <xdr:spPr>
        <a:xfrm>
          <a:off x="10199795" y="15645835"/>
          <a:ext cx="3770818" cy="2545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GDMC - DSH</a:t>
          </a:r>
        </a:p>
      </xdr:txBody>
    </xdr:sp>
    <xdr:clientData/>
  </xdr:twoCellAnchor>
  <xdr:twoCellAnchor>
    <xdr:from>
      <xdr:col>12</xdr:col>
      <xdr:colOff>18188</xdr:colOff>
      <xdr:row>16</xdr:row>
      <xdr:rowOff>669723</xdr:rowOff>
    </xdr:from>
    <xdr:to>
      <xdr:col>15</xdr:col>
      <xdr:colOff>310000</xdr:colOff>
      <xdr:row>16</xdr:row>
      <xdr:rowOff>810123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3EA1DBE7-D7C4-49C9-90F7-B354762CCFCD}"/>
            </a:ext>
          </a:extLst>
        </xdr:cNvPr>
        <xdr:cNvSpPr/>
      </xdr:nvSpPr>
      <xdr:spPr>
        <a:xfrm>
          <a:off x="12400688" y="15923330"/>
          <a:ext cx="1230705" cy="1404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On-Hold</a:t>
          </a:r>
        </a:p>
      </xdr:txBody>
    </xdr:sp>
    <xdr:clientData/>
  </xdr:twoCellAnchor>
  <xdr:twoCellAnchor>
    <xdr:from>
      <xdr:col>5</xdr:col>
      <xdr:colOff>0</xdr:colOff>
      <xdr:row>16</xdr:row>
      <xdr:rowOff>668772</xdr:rowOff>
    </xdr:from>
    <xdr:to>
      <xdr:col>7</xdr:col>
      <xdr:colOff>304628</xdr:colOff>
      <xdr:row>16</xdr:row>
      <xdr:rowOff>810436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53B34592-7D55-47EF-804F-CE65C306F616}"/>
            </a:ext>
          </a:extLst>
        </xdr:cNvPr>
        <xdr:cNvSpPr/>
      </xdr:nvSpPr>
      <xdr:spPr>
        <a:xfrm>
          <a:off x="10191750" y="15922379"/>
          <a:ext cx="930557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8</xdr:col>
      <xdr:colOff>19275</xdr:colOff>
      <xdr:row>16</xdr:row>
      <xdr:rowOff>668771</xdr:rowOff>
    </xdr:from>
    <xdr:to>
      <xdr:col>11</xdr:col>
      <xdr:colOff>296218</xdr:colOff>
      <xdr:row>16</xdr:row>
      <xdr:rowOff>810435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137316CC-290C-494F-A7A3-80F68258AC4E}"/>
            </a:ext>
          </a:extLst>
        </xdr:cNvPr>
        <xdr:cNvSpPr/>
      </xdr:nvSpPr>
      <xdr:spPr>
        <a:xfrm>
          <a:off x="11149918" y="15922378"/>
          <a:ext cx="1215836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14</xdr:col>
      <xdr:colOff>30133</xdr:colOff>
      <xdr:row>29</xdr:row>
      <xdr:rowOff>155603</xdr:rowOff>
    </xdr:from>
    <xdr:to>
      <xdr:col>21</xdr:col>
      <xdr:colOff>3027</xdr:colOff>
      <xdr:row>31</xdr:row>
      <xdr:rowOff>168703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4268BDA0-B43E-44B8-9D1E-6A29C4FC4B26}"/>
            </a:ext>
          </a:extLst>
        </xdr:cNvPr>
        <xdr:cNvSpPr/>
      </xdr:nvSpPr>
      <xdr:spPr>
        <a:xfrm>
          <a:off x="13038562" y="17885710"/>
          <a:ext cx="2163644" cy="3941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Support Chanels for Dealers ( Parts &amp; Sales )</a:t>
          </a:r>
        </a:p>
      </xdr:txBody>
    </xdr:sp>
    <xdr:clientData/>
  </xdr:twoCellAnchor>
  <xdr:twoCellAnchor>
    <xdr:from>
      <xdr:col>14</xdr:col>
      <xdr:colOff>29390</xdr:colOff>
      <xdr:row>31</xdr:row>
      <xdr:rowOff>178888</xdr:rowOff>
    </xdr:from>
    <xdr:to>
      <xdr:col>15</xdr:col>
      <xdr:colOff>30660</xdr:colOff>
      <xdr:row>32</xdr:row>
      <xdr:rowOff>140008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5AA91BF8-FF26-423B-B76D-7B1D43F9EC54}"/>
            </a:ext>
          </a:extLst>
        </xdr:cNvPr>
        <xdr:cNvSpPr/>
      </xdr:nvSpPr>
      <xdr:spPr>
        <a:xfrm>
          <a:off x="13037819" y="18289995"/>
          <a:ext cx="314234" cy="1516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</a:t>
          </a:r>
        </a:p>
      </xdr:txBody>
    </xdr:sp>
    <xdr:clientData/>
  </xdr:twoCellAnchor>
  <xdr:twoCellAnchor>
    <xdr:from>
      <xdr:col>15</xdr:col>
      <xdr:colOff>55937</xdr:colOff>
      <xdr:row>31</xdr:row>
      <xdr:rowOff>180177</xdr:rowOff>
    </xdr:from>
    <xdr:to>
      <xdr:col>17</xdr:col>
      <xdr:colOff>166478</xdr:colOff>
      <xdr:row>32</xdr:row>
      <xdr:rowOff>145107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17880271-8ED5-4B47-949B-C6AFB5651549}"/>
            </a:ext>
          </a:extLst>
        </xdr:cNvPr>
        <xdr:cNvSpPr/>
      </xdr:nvSpPr>
      <xdr:spPr>
        <a:xfrm>
          <a:off x="13377330" y="18291284"/>
          <a:ext cx="736469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Dev</a:t>
          </a:r>
        </a:p>
      </xdr:txBody>
    </xdr:sp>
    <xdr:clientData/>
  </xdr:twoCellAnchor>
  <xdr:twoCellAnchor>
    <xdr:from>
      <xdr:col>17</xdr:col>
      <xdr:colOff>198813</xdr:colOff>
      <xdr:row>31</xdr:row>
      <xdr:rowOff>180177</xdr:rowOff>
    </xdr:from>
    <xdr:to>
      <xdr:col>19</xdr:col>
      <xdr:colOff>168829</xdr:colOff>
      <xdr:row>32</xdr:row>
      <xdr:rowOff>145107</xdr:rowOff>
    </xdr:to>
    <xdr:sp macro="" textlink="">
      <xdr:nvSpPr>
        <xdr:cNvPr id="298" name="Retângulo 297">
          <a:extLst>
            <a:ext uri="{FF2B5EF4-FFF2-40B4-BE49-F238E27FC236}">
              <a16:creationId xmlns:a16="http://schemas.microsoft.com/office/drawing/2014/main" id="{7B6F3224-24F5-4DB8-B354-B5CEA2493787}"/>
            </a:ext>
          </a:extLst>
        </xdr:cNvPr>
        <xdr:cNvSpPr/>
      </xdr:nvSpPr>
      <xdr:spPr>
        <a:xfrm>
          <a:off x="14146134" y="18291284"/>
          <a:ext cx="595945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</a:t>
          </a:r>
        </a:p>
      </xdr:txBody>
    </xdr:sp>
    <xdr:clientData/>
  </xdr:twoCellAnchor>
  <xdr:twoCellAnchor>
    <xdr:from>
      <xdr:col>19</xdr:col>
      <xdr:colOff>196805</xdr:colOff>
      <xdr:row>31</xdr:row>
      <xdr:rowOff>180177</xdr:rowOff>
    </xdr:from>
    <xdr:to>
      <xdr:col>20</xdr:col>
      <xdr:colOff>306076</xdr:colOff>
      <xdr:row>32</xdr:row>
      <xdr:rowOff>145107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2F5420EF-875C-4412-81C1-5F678E6E24A5}"/>
            </a:ext>
          </a:extLst>
        </xdr:cNvPr>
        <xdr:cNvSpPr/>
      </xdr:nvSpPr>
      <xdr:spPr>
        <a:xfrm>
          <a:off x="14770055" y="18291284"/>
          <a:ext cx="422235" cy="15543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19</xdr:col>
      <xdr:colOff>205825</xdr:colOff>
      <xdr:row>23</xdr:row>
      <xdr:rowOff>45696</xdr:rowOff>
    </xdr:from>
    <xdr:to>
      <xdr:col>20</xdr:col>
      <xdr:colOff>78205</xdr:colOff>
      <xdr:row>24</xdr:row>
      <xdr:rowOff>46999</xdr:rowOff>
    </xdr:to>
    <xdr:sp macro="" textlink="">
      <xdr:nvSpPr>
        <xdr:cNvPr id="300" name="Isosceles Triangle 27">
          <a:extLst>
            <a:ext uri="{FF2B5EF4-FFF2-40B4-BE49-F238E27FC236}">
              <a16:creationId xmlns:a16="http://schemas.microsoft.com/office/drawing/2014/main" id="{F629FEF3-258C-40A3-B58A-674EAF3DCFB0}"/>
            </a:ext>
          </a:extLst>
        </xdr:cNvPr>
        <xdr:cNvSpPr/>
      </xdr:nvSpPr>
      <xdr:spPr>
        <a:xfrm rot="10800000">
          <a:off x="14779075" y="16632803"/>
          <a:ext cx="185344" cy="191803"/>
        </a:xfrm>
        <a:prstGeom prst="triangle">
          <a:avLst>
            <a:gd name="adj" fmla="val 50000"/>
          </a:avLst>
        </a:prstGeom>
        <a:solidFill>
          <a:srgbClr val="FFC000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</xdr:col>
      <xdr:colOff>192888</xdr:colOff>
      <xdr:row>21</xdr:row>
      <xdr:rowOff>122463</xdr:rowOff>
    </xdr:from>
    <xdr:ext cx="1790042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D8C47C80-14AB-4A6F-A055-5718C552C92B}"/>
            </a:ext>
          </a:extLst>
        </xdr:cNvPr>
        <xdr:cNvSpPr txBox="1"/>
      </xdr:nvSpPr>
      <xdr:spPr>
        <a:xfrm>
          <a:off x="14140209" y="16328570"/>
          <a:ext cx="17900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Parts Claim Start Operation</a:t>
          </a:r>
          <a:endParaRPr lang="pt-BR" sz="1100" b="1" i="1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5989</xdr:colOff>
      <xdr:row>16</xdr:row>
      <xdr:rowOff>668771</xdr:rowOff>
    </xdr:from>
    <xdr:to>
      <xdr:col>17</xdr:col>
      <xdr:colOff>7259</xdr:colOff>
      <xdr:row>16</xdr:row>
      <xdr:rowOff>810435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FA3FE224-75D3-4D7B-AD33-B68F4386A373}"/>
            </a:ext>
          </a:extLst>
        </xdr:cNvPr>
        <xdr:cNvSpPr/>
      </xdr:nvSpPr>
      <xdr:spPr>
        <a:xfrm>
          <a:off x="13640346" y="15922378"/>
          <a:ext cx="314234" cy="14166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</a:t>
          </a:r>
        </a:p>
      </xdr:txBody>
    </xdr:sp>
    <xdr:clientData/>
  </xdr:twoCellAnchor>
  <xdr:twoCellAnchor>
    <xdr:from>
      <xdr:col>20</xdr:col>
      <xdr:colOff>305647</xdr:colOff>
      <xdr:row>4</xdr:row>
      <xdr:rowOff>272143</xdr:rowOff>
    </xdr:from>
    <xdr:to>
      <xdr:col>20</xdr:col>
      <xdr:colOff>305647</xdr:colOff>
      <xdr:row>46</xdr:row>
      <xdr:rowOff>68036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46587277-E2FD-429F-8BE7-9754D3EB86C7}"/>
            </a:ext>
          </a:extLst>
        </xdr:cNvPr>
        <xdr:cNvCxnSpPr/>
      </xdr:nvCxnSpPr>
      <xdr:spPr>
        <a:xfrm>
          <a:off x="15191861" y="3075214"/>
          <a:ext cx="0" cy="19866429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236009</xdr:colOff>
      <xdr:row>70</xdr:row>
      <xdr:rowOff>95251</xdr:rowOff>
    </xdr:from>
    <xdr:to>
      <xdr:col>32</xdr:col>
      <xdr:colOff>50140</xdr:colOff>
      <xdr:row>70</xdr:row>
      <xdr:rowOff>237883</xdr:rowOff>
    </xdr:to>
    <xdr:sp macro="" textlink="">
      <xdr:nvSpPr>
        <xdr:cNvPr id="317" name="Estrela: 5 Pontas 29">
          <a:extLst>
            <a:ext uri="{FF2B5EF4-FFF2-40B4-BE49-F238E27FC236}">
              <a16:creationId xmlns:a16="http://schemas.microsoft.com/office/drawing/2014/main" id="{7FFA2260-BCEF-4049-8B59-8B7F3D4D2EC2}"/>
            </a:ext>
          </a:extLst>
        </xdr:cNvPr>
        <xdr:cNvSpPr/>
      </xdr:nvSpPr>
      <xdr:spPr>
        <a:xfrm>
          <a:off x="19730509" y="29157084"/>
          <a:ext cx="152798" cy="142632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31</xdr:col>
      <xdr:colOff>256825</xdr:colOff>
      <xdr:row>70</xdr:row>
      <xdr:rowOff>203270</xdr:rowOff>
    </xdr:from>
    <xdr:ext cx="495300" cy="264560"/>
    <xdr:sp macro="" textlink="">
      <xdr:nvSpPr>
        <xdr:cNvPr id="318" name="CaixaDeTexto 36">
          <a:extLst>
            <a:ext uri="{FF2B5EF4-FFF2-40B4-BE49-F238E27FC236}">
              <a16:creationId xmlns:a16="http://schemas.microsoft.com/office/drawing/2014/main" id="{E3B6041B-429F-4E3A-9C53-10B35795D82C}"/>
            </a:ext>
          </a:extLst>
        </xdr:cNvPr>
        <xdr:cNvSpPr txBox="1"/>
      </xdr:nvSpPr>
      <xdr:spPr>
        <a:xfrm>
          <a:off x="19751325" y="29265103"/>
          <a:ext cx="49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spAutoFit/>
        </a:bodyPr>
        <a:lstStyle/>
        <a:p>
          <a:pPr algn="ctr"/>
          <a:r>
            <a:rPr lang="pt-BR" sz="1100"/>
            <a:t>Go-Live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1721-AFA1-4BA8-B1FE-881FD4F62A55}">
  <sheetPr>
    <pageSetUpPr fitToPage="1"/>
  </sheetPr>
  <dimension ref="A2:EB79"/>
  <sheetViews>
    <sheetView showGridLines="0" tabSelected="1" view="pageBreakPreview" topLeftCell="B1" zoomScale="61" zoomScaleNormal="85" zoomScaleSheetLayoutView="85" workbookViewId="0">
      <pane xSplit="5" ySplit="5" topLeftCell="DJ61" activePane="bottomRight" state="frozen"/>
      <selection pane="topRight" activeCell="G1" sqref="G1"/>
      <selection pane="bottomLeft" activeCell="B6" sqref="B6"/>
      <selection pane="bottomRight" activeCell="EA68" sqref="EA68"/>
    </sheetView>
  </sheetViews>
  <sheetFormatPr defaultRowHeight="14.5" outlineLevelCol="1" x14ac:dyDescent="0.35"/>
  <cols>
    <col min="1" max="1" width="21" hidden="1" customWidth="1"/>
    <col min="2" max="2" width="15" customWidth="1"/>
    <col min="3" max="3" width="63.7265625" customWidth="1"/>
    <col min="4" max="4" width="10.453125" bestFit="1" customWidth="1"/>
    <col min="5" max="5" width="52.81640625" customWidth="1"/>
    <col min="6" max="6" width="41.1796875" customWidth="1"/>
    <col min="7" max="7" width="25.54296875" customWidth="1"/>
    <col min="8" max="45" width="4.7265625" hidden="1" customWidth="1" outlineLevel="1"/>
    <col min="46" max="46" width="4.7265625" hidden="1" customWidth="1" outlineLevel="1" collapsed="1"/>
    <col min="47" max="75" width="4.7265625" hidden="1" customWidth="1" outlineLevel="1"/>
    <col min="76" max="76" width="4.7265625" customWidth="1" collapsed="1"/>
    <col min="77" max="79" width="4.7265625" customWidth="1"/>
    <col min="80" max="80" width="4.7265625" hidden="1" customWidth="1"/>
    <col min="81" max="132" width="4.7265625" customWidth="1"/>
    <col min="133" max="133" width="21" customWidth="1"/>
  </cols>
  <sheetData>
    <row r="2" spans="2:132" x14ac:dyDescent="0.35">
      <c r="C2" s="36">
        <f>13/19</f>
        <v>0.68421052631578949</v>
      </c>
    </row>
    <row r="3" spans="2:132" x14ac:dyDescent="0.35">
      <c r="C3" s="37"/>
    </row>
    <row r="4" spans="2:132" x14ac:dyDescent="0.35">
      <c r="C4" s="36">
        <f>3/19</f>
        <v>0.15789473684210525</v>
      </c>
      <c r="H4" s="241" t="s">
        <v>0</v>
      </c>
      <c r="I4" s="241"/>
      <c r="J4" s="241"/>
      <c r="K4" s="241"/>
      <c r="L4" s="241" t="s">
        <v>1</v>
      </c>
      <c r="M4" s="241"/>
      <c r="N4" s="241"/>
      <c r="O4" s="241"/>
      <c r="P4" s="241" t="s">
        <v>2</v>
      </c>
      <c r="Q4" s="241"/>
      <c r="R4" s="241"/>
      <c r="S4" s="241"/>
      <c r="T4" s="241" t="s">
        <v>3</v>
      </c>
      <c r="U4" s="241"/>
      <c r="V4" s="241"/>
      <c r="W4" s="241"/>
      <c r="X4" s="241" t="s">
        <v>4</v>
      </c>
      <c r="Y4" s="241"/>
      <c r="Z4" s="241"/>
      <c r="AA4" s="241"/>
      <c r="AB4" s="241"/>
      <c r="AC4" s="241" t="s">
        <v>5</v>
      </c>
      <c r="AD4" s="241"/>
      <c r="AE4" s="241"/>
      <c r="AF4" s="241"/>
      <c r="AG4" s="241" t="s">
        <v>6</v>
      </c>
      <c r="AH4" s="241"/>
      <c r="AI4" s="241"/>
      <c r="AJ4" s="241"/>
      <c r="AK4" s="241" t="s">
        <v>7</v>
      </c>
      <c r="AL4" s="241"/>
      <c r="AM4" s="241"/>
      <c r="AN4" s="241"/>
      <c r="AO4" s="241"/>
      <c r="AP4" s="241" t="s">
        <v>8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G4" s="241"/>
      <c r="CH4" s="241"/>
      <c r="CI4" s="241"/>
      <c r="CJ4" s="241"/>
      <c r="CK4" s="241"/>
    </row>
    <row r="5" spans="2:132" ht="15" thickBot="1" x14ac:dyDescent="0.4"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2" t="s">
        <v>14</v>
      </c>
      <c r="H5" s="250" t="s">
        <v>15</v>
      </c>
      <c r="I5" s="210"/>
      <c r="J5" s="210"/>
      <c r="K5" s="210"/>
      <c r="L5" s="210" t="s">
        <v>16</v>
      </c>
      <c r="M5" s="210"/>
      <c r="N5" s="210"/>
      <c r="O5" s="210"/>
      <c r="P5" s="210" t="s">
        <v>17</v>
      </c>
      <c r="Q5" s="210"/>
      <c r="R5" s="210"/>
      <c r="S5" s="210"/>
      <c r="T5" s="210" t="s">
        <v>18</v>
      </c>
      <c r="U5" s="210"/>
      <c r="V5" s="210"/>
      <c r="W5" s="210"/>
      <c r="X5" s="210" t="s">
        <v>19</v>
      </c>
      <c r="Y5" s="210"/>
      <c r="Z5" s="210"/>
      <c r="AA5" s="210"/>
      <c r="AB5" s="210"/>
      <c r="AC5" s="210" t="s">
        <v>20</v>
      </c>
      <c r="AD5" s="210"/>
      <c r="AE5" s="210"/>
      <c r="AF5" s="210"/>
      <c r="AG5" s="210" t="s">
        <v>21</v>
      </c>
      <c r="AH5" s="210"/>
      <c r="AI5" s="210"/>
      <c r="AJ5" s="210"/>
      <c r="AK5" s="210" t="s">
        <v>22</v>
      </c>
      <c r="AL5" s="210"/>
      <c r="AM5" s="210"/>
      <c r="AN5" s="210"/>
      <c r="AO5" s="210"/>
      <c r="AP5" s="210" t="s">
        <v>23</v>
      </c>
      <c r="AQ5" s="210"/>
      <c r="AR5" s="210"/>
      <c r="AS5" s="210"/>
      <c r="AT5" s="210" t="s">
        <v>24</v>
      </c>
      <c r="AU5" s="210"/>
      <c r="AV5" s="210"/>
      <c r="AW5" s="210"/>
      <c r="AX5" s="210" t="s">
        <v>25</v>
      </c>
      <c r="AY5" s="210"/>
      <c r="AZ5" s="210"/>
      <c r="BA5" s="210"/>
      <c r="BB5" s="210" t="s">
        <v>26</v>
      </c>
      <c r="BC5" s="210"/>
      <c r="BD5" s="210"/>
      <c r="BE5" s="210"/>
      <c r="BF5" s="210" t="s">
        <v>27</v>
      </c>
      <c r="BG5" s="210"/>
      <c r="BH5" s="210"/>
      <c r="BI5" s="210"/>
      <c r="BJ5" s="210"/>
      <c r="BK5" s="210" t="s">
        <v>28</v>
      </c>
      <c r="BL5" s="210"/>
      <c r="BM5" s="210"/>
      <c r="BN5" s="210"/>
      <c r="BO5" s="210" t="s">
        <v>29</v>
      </c>
      <c r="BP5" s="210"/>
      <c r="BQ5" s="210"/>
      <c r="BR5" s="210"/>
      <c r="BS5" s="210" t="s">
        <v>30</v>
      </c>
      <c r="BT5" s="210"/>
      <c r="BU5" s="210"/>
      <c r="BV5" s="210"/>
      <c r="BW5" s="210"/>
      <c r="BX5" s="209" t="s">
        <v>31</v>
      </c>
      <c r="BY5" s="209"/>
      <c r="BZ5" s="209"/>
      <c r="CA5" s="209"/>
      <c r="CB5" s="209"/>
      <c r="CC5" s="201" t="s">
        <v>32</v>
      </c>
      <c r="CD5" s="202"/>
      <c r="CE5" s="202"/>
      <c r="CF5" s="202"/>
      <c r="CG5" s="211" t="s">
        <v>33</v>
      </c>
      <c r="CH5" s="212"/>
      <c r="CI5" s="212"/>
      <c r="CJ5" s="212"/>
      <c r="CK5" s="213"/>
      <c r="CL5" s="201" t="s">
        <v>34</v>
      </c>
      <c r="CM5" s="202"/>
      <c r="CN5" s="202"/>
      <c r="CO5" s="202"/>
      <c r="CP5" s="201" t="s">
        <v>23</v>
      </c>
      <c r="CQ5" s="202"/>
      <c r="CR5" s="202"/>
      <c r="CS5" s="202"/>
      <c r="CT5" s="201" t="s">
        <v>35</v>
      </c>
      <c r="CU5" s="202"/>
      <c r="CV5" s="202"/>
      <c r="CW5" s="202"/>
      <c r="CX5" s="202"/>
      <c r="CY5" s="201" t="s">
        <v>36</v>
      </c>
      <c r="CZ5" s="202"/>
      <c r="DA5" s="202"/>
      <c r="DB5" s="202"/>
      <c r="DC5" s="201" t="s">
        <v>26</v>
      </c>
      <c r="DD5" s="202"/>
      <c r="DE5" s="202"/>
      <c r="DF5" s="202"/>
      <c r="DG5" s="201" t="s">
        <v>37</v>
      </c>
      <c r="DH5" s="202"/>
      <c r="DI5" s="202"/>
      <c r="DJ5" s="202"/>
      <c r="DK5" s="202"/>
      <c r="DL5" s="201" t="s">
        <v>28</v>
      </c>
      <c r="DM5" s="202"/>
      <c r="DN5" s="202"/>
      <c r="DO5" s="202"/>
      <c r="DP5" s="201" t="s">
        <v>29</v>
      </c>
      <c r="DQ5" s="202"/>
      <c r="DR5" s="202"/>
      <c r="DS5" s="202"/>
      <c r="DT5" s="201" t="s">
        <v>30</v>
      </c>
      <c r="DU5" s="202"/>
      <c r="DV5" s="202"/>
      <c r="DW5" s="202"/>
      <c r="DX5" s="202"/>
      <c r="DY5" s="201" t="s">
        <v>31</v>
      </c>
      <c r="DZ5" s="202"/>
      <c r="EA5" s="202"/>
      <c r="EB5" s="202"/>
    </row>
    <row r="6" spans="2:132" ht="18" hidden="1" customHeight="1" x14ac:dyDescent="0.35">
      <c r="B6" s="199" t="s">
        <v>38</v>
      </c>
      <c r="C6" s="260" t="s">
        <v>39</v>
      </c>
      <c r="D6" s="7"/>
      <c r="E6" s="266" t="s">
        <v>40</v>
      </c>
      <c r="F6" s="275" t="s">
        <v>41</v>
      </c>
      <c r="G6" s="206"/>
      <c r="H6" s="9"/>
      <c r="I6" s="2"/>
      <c r="J6" s="2"/>
      <c r="K6" s="4"/>
      <c r="L6" s="2"/>
      <c r="M6" s="2"/>
      <c r="N6" s="2"/>
      <c r="O6" s="2"/>
      <c r="P6" s="24"/>
      <c r="Q6" s="25"/>
      <c r="R6" s="25"/>
      <c r="S6" s="26"/>
      <c r="T6" s="24"/>
      <c r="U6" s="25"/>
      <c r="V6" s="25"/>
      <c r="W6" s="26"/>
      <c r="X6" s="24"/>
      <c r="Y6" s="25"/>
      <c r="Z6" s="25"/>
      <c r="AA6" s="40"/>
      <c r="AB6" s="26"/>
      <c r="AC6" s="24"/>
      <c r="AD6" s="25"/>
      <c r="AE6" s="25"/>
      <c r="AF6" s="26"/>
      <c r="AG6" s="24"/>
      <c r="AH6" s="25"/>
      <c r="AI6" s="25"/>
      <c r="AJ6" s="26"/>
      <c r="AK6" s="24"/>
      <c r="AL6" s="25"/>
      <c r="AM6" s="25"/>
      <c r="AN6" s="25"/>
      <c r="AO6" s="26"/>
      <c r="AP6" s="24"/>
      <c r="AQ6" s="25"/>
      <c r="AR6" s="25"/>
      <c r="AS6" s="26"/>
      <c r="AT6" s="47"/>
      <c r="AU6" s="48"/>
      <c r="AV6" s="48"/>
      <c r="AW6" s="54"/>
      <c r="AX6" s="60"/>
      <c r="AY6" s="48"/>
      <c r="AZ6" s="48"/>
      <c r="BA6" s="61"/>
      <c r="BB6" s="57"/>
      <c r="BC6" s="48"/>
      <c r="BD6" s="48"/>
      <c r="BE6" s="68"/>
      <c r="BF6" s="69"/>
      <c r="BG6" s="48"/>
      <c r="BH6" s="48"/>
      <c r="BI6" s="48"/>
      <c r="BJ6" s="54"/>
      <c r="BK6" s="60"/>
      <c r="BL6" s="48"/>
      <c r="BM6" s="48"/>
      <c r="BN6" s="61"/>
      <c r="BO6" s="57"/>
      <c r="BP6" s="48"/>
      <c r="BQ6" s="48"/>
      <c r="BR6" s="54"/>
      <c r="BS6" s="60"/>
      <c r="BT6" s="48"/>
      <c r="BU6" s="48"/>
      <c r="BV6" s="48"/>
      <c r="BW6" s="68"/>
      <c r="BX6" s="69"/>
      <c r="BY6" s="48"/>
      <c r="BZ6" s="48"/>
      <c r="CA6" s="48"/>
      <c r="CB6" s="48"/>
      <c r="CC6" s="69"/>
      <c r="CD6" s="48"/>
      <c r="CE6" s="48"/>
      <c r="CF6" s="48"/>
      <c r="CG6" s="69"/>
      <c r="CH6" s="48"/>
      <c r="CI6" s="48"/>
      <c r="CJ6" s="48"/>
      <c r="CK6" s="48"/>
      <c r="CL6" s="69"/>
      <c r="CM6" s="48"/>
      <c r="CN6" s="48"/>
      <c r="CO6" s="48"/>
      <c r="CP6" s="69"/>
      <c r="CQ6" s="48"/>
      <c r="CR6" s="48"/>
      <c r="CS6" s="48"/>
      <c r="CT6" s="69"/>
      <c r="CU6" s="57"/>
      <c r="CV6" s="48"/>
      <c r="CW6" s="48"/>
      <c r="CX6" s="54"/>
      <c r="CY6" s="69"/>
      <c r="CZ6" s="48"/>
      <c r="DA6" s="48"/>
      <c r="DB6" s="68"/>
      <c r="DC6" s="69"/>
      <c r="DD6" s="48"/>
      <c r="DE6" s="48"/>
      <c r="DF6" s="68"/>
      <c r="DG6" s="69"/>
      <c r="DH6" s="48"/>
      <c r="DI6" s="48"/>
      <c r="DJ6" s="48"/>
      <c r="DK6" s="68"/>
      <c r="DL6" s="69"/>
      <c r="DM6" s="48"/>
      <c r="DN6" s="48"/>
      <c r="DO6" s="68"/>
      <c r="DP6" s="69"/>
      <c r="DQ6" s="48"/>
      <c r="DR6" s="48"/>
      <c r="DS6" s="108"/>
      <c r="DT6" s="69"/>
      <c r="DU6" s="48"/>
      <c r="DV6" s="48"/>
      <c r="DW6" s="48"/>
      <c r="DX6" s="108"/>
      <c r="DY6" s="69"/>
      <c r="DZ6" s="48"/>
      <c r="EA6" s="48"/>
      <c r="EB6" s="48"/>
    </row>
    <row r="7" spans="2:132" ht="18" hidden="1" customHeight="1" x14ac:dyDescent="0.35">
      <c r="B7" s="200"/>
      <c r="C7" s="261"/>
      <c r="D7" s="8"/>
      <c r="E7" s="267"/>
      <c r="F7" s="276"/>
      <c r="G7" s="207"/>
      <c r="H7" s="10"/>
      <c r="K7" s="5"/>
      <c r="P7" s="18"/>
      <c r="Q7" s="19"/>
      <c r="R7" s="19"/>
      <c r="S7" s="20"/>
      <c r="T7" s="18"/>
      <c r="U7" s="19"/>
      <c r="V7" s="19"/>
      <c r="W7" s="20"/>
      <c r="X7" s="18"/>
      <c r="Y7" s="19"/>
      <c r="Z7" s="19"/>
      <c r="AA7" s="38"/>
      <c r="AB7" s="20"/>
      <c r="AC7" s="18"/>
      <c r="AD7" s="19"/>
      <c r="AE7" s="19"/>
      <c r="AF7" s="20"/>
      <c r="AG7" s="18"/>
      <c r="AH7" s="19"/>
      <c r="AI7" s="19"/>
      <c r="AJ7" s="20"/>
      <c r="AK7" s="18"/>
      <c r="AL7" s="19"/>
      <c r="AM7" s="19"/>
      <c r="AN7" s="19"/>
      <c r="AO7" s="20"/>
      <c r="AP7" s="18"/>
      <c r="AQ7" s="19"/>
      <c r="AR7" s="19"/>
      <c r="AS7" s="20"/>
      <c r="AT7" s="49"/>
      <c r="AU7" s="50"/>
      <c r="AV7" s="50"/>
      <c r="AW7" s="55"/>
      <c r="AX7" s="62"/>
      <c r="AY7" s="50"/>
      <c r="AZ7" s="50"/>
      <c r="BA7" s="63"/>
      <c r="BB7" s="58"/>
      <c r="BC7" s="50"/>
      <c r="BD7" s="50"/>
      <c r="BE7" s="70"/>
      <c r="BF7" s="71"/>
      <c r="BG7" s="50"/>
      <c r="BH7" s="50"/>
      <c r="BI7" s="50"/>
      <c r="BJ7" s="55"/>
      <c r="BK7" s="62"/>
      <c r="BL7" s="50"/>
      <c r="BM7" s="50"/>
      <c r="BN7" s="63"/>
      <c r="BO7" s="58"/>
      <c r="BP7" s="50"/>
      <c r="BQ7" s="50"/>
      <c r="BR7" s="55"/>
      <c r="BS7" s="62"/>
      <c r="BT7" s="50"/>
      <c r="BU7" s="50"/>
      <c r="BV7" s="50"/>
      <c r="BW7" s="70"/>
      <c r="BX7" s="71"/>
      <c r="BY7" s="50"/>
      <c r="BZ7" s="50"/>
      <c r="CA7" s="50"/>
      <c r="CB7" s="50"/>
      <c r="CC7" s="71"/>
      <c r="CD7" s="50"/>
      <c r="CE7" s="50"/>
      <c r="CF7" s="50"/>
      <c r="CG7" s="71"/>
      <c r="CH7" s="50"/>
      <c r="CI7" s="50"/>
      <c r="CJ7" s="50"/>
      <c r="CK7" s="50"/>
      <c r="CL7" s="71"/>
      <c r="CM7" s="50"/>
      <c r="CN7" s="50"/>
      <c r="CO7" s="50"/>
      <c r="CP7" s="71"/>
      <c r="CQ7" s="50"/>
      <c r="CR7" s="50"/>
      <c r="CS7" s="50"/>
      <c r="CT7" s="71"/>
      <c r="CU7" s="58"/>
      <c r="CV7" s="50"/>
      <c r="CW7" s="50"/>
      <c r="CX7" s="55"/>
      <c r="CY7" s="71"/>
      <c r="CZ7" s="50"/>
      <c r="DA7" s="50"/>
      <c r="DB7" s="70"/>
      <c r="DC7" s="71"/>
      <c r="DD7" s="50"/>
      <c r="DE7" s="50"/>
      <c r="DF7" s="70"/>
      <c r="DG7" s="71"/>
      <c r="DH7" s="50"/>
      <c r="DI7" s="50"/>
      <c r="DJ7" s="50"/>
      <c r="DK7" s="70"/>
      <c r="DL7" s="71"/>
      <c r="DM7" s="50"/>
      <c r="DN7" s="50"/>
      <c r="DO7" s="70"/>
      <c r="DP7" s="71"/>
      <c r="DQ7" s="50"/>
      <c r="DR7" s="50"/>
      <c r="DS7" s="105"/>
      <c r="DT7" s="71"/>
      <c r="DU7" s="50"/>
      <c r="DV7" s="50"/>
      <c r="DW7" s="50"/>
      <c r="DX7" s="105"/>
      <c r="DY7" s="71"/>
      <c r="DZ7" s="50"/>
      <c r="EA7" s="50"/>
      <c r="EB7" s="50"/>
    </row>
    <row r="8" spans="2:132" ht="21.75" hidden="1" customHeight="1" x14ac:dyDescent="0.35">
      <c r="B8" s="200"/>
      <c r="C8" s="261"/>
      <c r="D8" s="8"/>
      <c r="E8" s="267"/>
      <c r="F8" s="276"/>
      <c r="G8" s="207"/>
      <c r="H8" s="10"/>
      <c r="K8" s="5"/>
      <c r="P8" s="18"/>
      <c r="Q8" s="19"/>
      <c r="R8" s="19"/>
      <c r="S8" s="20"/>
      <c r="T8" s="18"/>
      <c r="U8" s="19"/>
      <c r="V8" s="19"/>
      <c r="W8" s="20"/>
      <c r="X8" s="18"/>
      <c r="Y8" s="19"/>
      <c r="Z8" s="19"/>
      <c r="AA8" s="38"/>
      <c r="AB8" s="20"/>
      <c r="AC8" s="18"/>
      <c r="AD8" s="19"/>
      <c r="AE8" s="19"/>
      <c r="AF8" s="20"/>
      <c r="AG8" s="18"/>
      <c r="AH8" s="19"/>
      <c r="AI8" s="19"/>
      <c r="AJ8" s="20"/>
      <c r="AK8" s="18"/>
      <c r="AL8" s="19"/>
      <c r="AM8" s="19"/>
      <c r="AN8" s="19"/>
      <c r="AO8" s="20"/>
      <c r="AP8" s="18"/>
      <c r="AQ8" s="19"/>
      <c r="AR8" s="19"/>
      <c r="AS8" s="20"/>
      <c r="AT8" s="49"/>
      <c r="AU8" s="50"/>
      <c r="AV8" s="50"/>
      <c r="AW8" s="55"/>
      <c r="AX8" s="62"/>
      <c r="AY8" s="50"/>
      <c r="AZ8" s="50"/>
      <c r="BA8" s="63"/>
      <c r="BB8" s="58"/>
      <c r="BC8" s="50"/>
      <c r="BD8" s="50"/>
      <c r="BE8" s="70"/>
      <c r="BF8" s="71"/>
      <c r="BG8" s="50"/>
      <c r="BH8" s="50"/>
      <c r="BI8" s="50"/>
      <c r="BJ8" s="55"/>
      <c r="BK8" s="62"/>
      <c r="BL8" s="50"/>
      <c r="BM8" s="50"/>
      <c r="BN8" s="63"/>
      <c r="BO8" s="58"/>
      <c r="BP8" s="50"/>
      <c r="BQ8" s="50"/>
      <c r="BR8" s="55"/>
      <c r="BS8" s="62"/>
      <c r="BT8" s="50"/>
      <c r="BU8" s="50"/>
      <c r="BV8" s="50"/>
      <c r="BW8" s="70"/>
      <c r="BX8" s="71"/>
      <c r="BY8" s="50"/>
      <c r="BZ8" s="50"/>
      <c r="CA8" s="50"/>
      <c r="CB8" s="50"/>
      <c r="CC8" s="71"/>
      <c r="CD8" s="50"/>
      <c r="CE8" s="50"/>
      <c r="CF8" s="50"/>
      <c r="CG8" s="71"/>
      <c r="CH8" s="50"/>
      <c r="CI8" s="50"/>
      <c r="CJ8" s="50"/>
      <c r="CK8" s="50"/>
      <c r="CL8" s="71"/>
      <c r="CM8" s="50"/>
      <c r="CN8" s="50"/>
      <c r="CO8" s="50"/>
      <c r="CP8" s="71"/>
      <c r="CQ8" s="50"/>
      <c r="CR8" s="50"/>
      <c r="CS8" s="50"/>
      <c r="CT8" s="71"/>
      <c r="CU8" s="58"/>
      <c r="CV8" s="50"/>
      <c r="CW8" s="50"/>
      <c r="CX8" s="55"/>
      <c r="CY8" s="71"/>
      <c r="CZ8" s="50"/>
      <c r="DA8" s="50"/>
      <c r="DB8" s="70"/>
      <c r="DC8" s="71"/>
      <c r="DD8" s="50"/>
      <c r="DE8" s="50"/>
      <c r="DF8" s="70"/>
      <c r="DG8" s="71"/>
      <c r="DH8" s="50"/>
      <c r="DI8" s="50"/>
      <c r="DJ8" s="50"/>
      <c r="DK8" s="70"/>
      <c r="DL8" s="71"/>
      <c r="DM8" s="50"/>
      <c r="DN8" s="50"/>
      <c r="DO8" s="70"/>
      <c r="DP8" s="71"/>
      <c r="DQ8" s="50"/>
      <c r="DR8" s="50"/>
      <c r="DS8" s="105"/>
      <c r="DT8" s="71"/>
      <c r="DU8" s="50"/>
      <c r="DV8" s="50"/>
      <c r="DW8" s="50"/>
      <c r="DX8" s="105"/>
      <c r="DY8" s="71"/>
      <c r="DZ8" s="50"/>
      <c r="EA8" s="50"/>
      <c r="EB8" s="50"/>
    </row>
    <row r="9" spans="2:132" ht="124.15" hidden="1" customHeight="1" x14ac:dyDescent="0.35">
      <c r="B9" s="200"/>
      <c r="C9" s="261"/>
      <c r="D9" s="8"/>
      <c r="E9" s="267"/>
      <c r="F9" s="276"/>
      <c r="G9" s="207"/>
      <c r="H9" s="10"/>
      <c r="K9" s="5"/>
      <c r="P9" s="18"/>
      <c r="Q9" s="19"/>
      <c r="R9" s="19"/>
      <c r="S9" s="20"/>
      <c r="T9" s="18"/>
      <c r="U9" s="19"/>
      <c r="V9" s="19"/>
      <c r="W9" s="20"/>
      <c r="X9" s="18"/>
      <c r="Y9" s="19"/>
      <c r="Z9" s="19"/>
      <c r="AA9" s="38"/>
      <c r="AB9" s="20"/>
      <c r="AC9" s="18"/>
      <c r="AD9" s="19"/>
      <c r="AE9" s="19"/>
      <c r="AF9" s="20"/>
      <c r="AG9" s="18"/>
      <c r="AH9" s="19"/>
      <c r="AI9" s="19"/>
      <c r="AJ9" s="20"/>
      <c r="AK9" s="18"/>
      <c r="AL9" s="19"/>
      <c r="AM9" s="19"/>
      <c r="AN9" s="19"/>
      <c r="AO9" s="20"/>
      <c r="AP9" s="18"/>
      <c r="AQ9" s="19"/>
      <c r="AS9" s="19"/>
      <c r="AT9" s="49"/>
      <c r="AU9" s="50"/>
      <c r="AV9" s="50"/>
      <c r="AW9" s="55"/>
      <c r="AX9" s="62"/>
      <c r="AY9" s="50"/>
      <c r="AZ9" s="50"/>
      <c r="BA9" s="63"/>
      <c r="BB9" s="58"/>
      <c r="BC9" s="50"/>
      <c r="BD9" s="50"/>
      <c r="BE9" s="70"/>
      <c r="BF9" s="71"/>
      <c r="BG9" s="50"/>
      <c r="BH9" s="50"/>
      <c r="BI9" s="50"/>
      <c r="BJ9" s="55"/>
      <c r="BK9" s="62"/>
      <c r="BL9" s="50"/>
      <c r="BM9" s="50"/>
      <c r="BN9" s="63"/>
      <c r="BO9" s="58"/>
      <c r="BP9" s="50"/>
      <c r="BQ9" s="50"/>
      <c r="BR9" s="55"/>
      <c r="BS9" s="62"/>
      <c r="BT9" s="50"/>
      <c r="BU9" s="50"/>
      <c r="BV9" s="50"/>
      <c r="BW9" s="70"/>
      <c r="BX9" s="71"/>
      <c r="BY9" s="50"/>
      <c r="BZ9" s="50"/>
      <c r="CA9" s="50"/>
      <c r="CB9" s="50"/>
      <c r="CC9" s="71"/>
      <c r="CD9" s="50"/>
      <c r="CE9" s="50"/>
      <c r="CF9" s="50"/>
      <c r="CG9" s="71"/>
      <c r="CH9" s="50"/>
      <c r="CI9" s="50"/>
      <c r="CJ9" s="50"/>
      <c r="CK9" s="50"/>
      <c r="CL9" s="71"/>
      <c r="CM9" s="50"/>
      <c r="CN9" s="50"/>
      <c r="CO9" s="50"/>
      <c r="CP9" s="71"/>
      <c r="CQ9" s="50"/>
      <c r="CR9" s="50"/>
      <c r="CS9" s="50"/>
      <c r="CT9" s="71"/>
      <c r="CU9" s="58"/>
      <c r="CV9" s="50"/>
      <c r="CW9" s="50"/>
      <c r="CX9" s="55"/>
      <c r="CY9" s="71"/>
      <c r="CZ9" s="50"/>
      <c r="DA9" s="50"/>
      <c r="DB9" s="70"/>
      <c r="DC9" s="71"/>
      <c r="DD9" s="50"/>
      <c r="DE9" s="50"/>
      <c r="DF9" s="70"/>
      <c r="DG9" s="71"/>
      <c r="DH9" s="50"/>
      <c r="DI9" s="50"/>
      <c r="DJ9" s="50"/>
      <c r="DK9" s="70"/>
      <c r="DL9" s="71"/>
      <c r="DM9" s="50"/>
      <c r="DN9" s="50"/>
      <c r="DO9" s="70"/>
      <c r="DP9" s="71"/>
      <c r="DQ9" s="50"/>
      <c r="DR9" s="50"/>
      <c r="DS9" s="105"/>
      <c r="DT9" s="71"/>
      <c r="DU9" s="50"/>
      <c r="DV9" s="50"/>
      <c r="DW9" s="50"/>
      <c r="DX9" s="105"/>
      <c r="DY9" s="71"/>
      <c r="DZ9" s="50"/>
      <c r="EA9" s="50"/>
      <c r="EB9" s="50"/>
    </row>
    <row r="10" spans="2:132" s="3" customFormat="1" ht="15" hidden="1" thickBot="1" x14ac:dyDescent="0.4">
      <c r="B10" s="200"/>
      <c r="C10" s="261"/>
      <c r="D10" s="93"/>
      <c r="E10" s="267"/>
      <c r="F10" s="276"/>
      <c r="G10" s="208"/>
      <c r="H10" s="11"/>
      <c r="K10" s="6"/>
      <c r="P10" s="21"/>
      <c r="Q10" s="22"/>
      <c r="R10" s="22"/>
      <c r="S10" s="23"/>
      <c r="T10" s="21"/>
      <c r="U10" s="22"/>
      <c r="V10" s="22"/>
      <c r="W10" s="23"/>
      <c r="X10" s="21"/>
      <c r="Y10" s="22"/>
      <c r="Z10" s="22"/>
      <c r="AA10" s="39"/>
      <c r="AB10" s="23"/>
      <c r="AC10" s="21"/>
      <c r="AD10" s="22"/>
      <c r="AE10" s="22"/>
      <c r="AF10" s="23"/>
      <c r="AG10" s="21"/>
      <c r="AH10" s="22"/>
      <c r="AI10" s="22"/>
      <c r="AJ10" s="23"/>
      <c r="AK10" s="21"/>
      <c r="AL10" s="22"/>
      <c r="AM10" s="22"/>
      <c r="AN10" s="22"/>
      <c r="AO10" s="23"/>
      <c r="AP10" s="21"/>
      <c r="AQ10" s="22"/>
      <c r="AR10" s="22"/>
      <c r="AS10" s="23"/>
      <c r="AT10" s="94"/>
      <c r="AU10" s="82"/>
      <c r="AV10" s="82"/>
      <c r="AW10" s="95"/>
      <c r="AX10" s="96"/>
      <c r="AY10" s="82"/>
      <c r="AZ10" s="82"/>
      <c r="BA10" s="97"/>
      <c r="BB10" s="98"/>
      <c r="BC10" s="82"/>
      <c r="BD10" s="82"/>
      <c r="BE10" s="99"/>
      <c r="BF10" s="100"/>
      <c r="BG10" s="82"/>
      <c r="BH10" s="82"/>
      <c r="BI10" s="82"/>
      <c r="BJ10" s="95"/>
      <c r="BK10" s="96"/>
      <c r="BL10" s="82"/>
      <c r="BM10" s="82"/>
      <c r="BN10" s="97"/>
      <c r="BO10" s="98"/>
      <c r="BP10" s="82"/>
      <c r="BQ10" s="82"/>
      <c r="BR10" s="95"/>
      <c r="BS10" s="96"/>
      <c r="BT10" s="82"/>
      <c r="BU10" s="82"/>
      <c r="BV10" s="82"/>
      <c r="BW10" s="99"/>
      <c r="BX10" s="100"/>
      <c r="BY10" s="82"/>
      <c r="BZ10" s="82"/>
      <c r="CA10" s="82"/>
      <c r="CB10" s="82"/>
      <c r="CC10" s="100"/>
      <c r="CD10" s="82"/>
      <c r="CE10" s="82"/>
      <c r="CF10" s="82"/>
      <c r="CG10" s="100"/>
      <c r="CH10" s="82"/>
      <c r="CI10" s="82"/>
      <c r="CJ10" s="82"/>
      <c r="CK10" s="82"/>
      <c r="CL10" s="100"/>
      <c r="CM10" s="82"/>
      <c r="CN10" s="82"/>
      <c r="CO10" s="82"/>
      <c r="CP10" s="100"/>
      <c r="CQ10" s="82"/>
      <c r="CR10" s="82"/>
      <c r="CT10" s="100"/>
      <c r="CU10" s="98"/>
      <c r="CV10" s="82"/>
      <c r="CW10" s="82"/>
      <c r="CX10" s="95"/>
      <c r="CY10" s="100"/>
      <c r="CZ10" s="82"/>
      <c r="DA10" s="82"/>
      <c r="DB10" s="99"/>
      <c r="DC10" s="100"/>
      <c r="DD10" s="82"/>
      <c r="DE10" s="82"/>
      <c r="DF10" s="99"/>
      <c r="DG10" s="100"/>
      <c r="DH10" s="82"/>
      <c r="DI10" s="82"/>
      <c r="DJ10" s="82"/>
      <c r="DK10" s="99"/>
      <c r="DL10" s="100"/>
      <c r="DM10" s="82"/>
      <c r="DN10" s="82"/>
      <c r="DO10" s="99"/>
      <c r="DP10" s="100"/>
      <c r="DQ10" s="82"/>
      <c r="DR10" s="82"/>
      <c r="DS10" s="109"/>
      <c r="DT10" s="100"/>
      <c r="DU10" s="82"/>
      <c r="DV10" s="82"/>
      <c r="DW10" s="82"/>
      <c r="DX10" s="109"/>
      <c r="DY10" s="100"/>
      <c r="DZ10" s="82"/>
      <c r="EA10" s="82"/>
      <c r="EB10" s="82"/>
    </row>
    <row r="11" spans="2:132" s="2" customFormat="1" ht="18" customHeight="1" x14ac:dyDescent="0.35">
      <c r="B11" s="200"/>
      <c r="C11" s="270" t="s">
        <v>42</v>
      </c>
      <c r="D11" s="110"/>
      <c r="E11" s="219" t="s">
        <v>43</v>
      </c>
      <c r="F11" s="219" t="s">
        <v>44</v>
      </c>
      <c r="G11" s="101"/>
      <c r="H11" s="43"/>
      <c r="I11" s="14"/>
      <c r="J11" s="14"/>
      <c r="K11" s="30"/>
      <c r="L11" s="14"/>
      <c r="M11" s="14"/>
      <c r="N11" s="14"/>
      <c r="O11" s="14"/>
      <c r="P11" s="44"/>
      <c r="Q11" s="45"/>
      <c r="R11" s="45"/>
      <c r="S11" s="33"/>
      <c r="T11" s="44"/>
      <c r="U11" s="45"/>
      <c r="V11" s="45"/>
      <c r="W11" s="33"/>
      <c r="X11" s="44"/>
      <c r="Y11" s="45"/>
      <c r="Z11" s="45"/>
      <c r="AA11" s="46"/>
      <c r="AB11" s="33"/>
      <c r="AC11" s="44"/>
      <c r="AD11" s="45"/>
      <c r="AE11" s="45"/>
      <c r="AF11" s="33"/>
      <c r="AG11" s="44"/>
      <c r="AH11" s="45"/>
      <c r="AI11" s="45"/>
      <c r="AJ11" s="33"/>
      <c r="AK11" s="44"/>
      <c r="AL11" s="45"/>
      <c r="AM11" s="45"/>
      <c r="AN11" s="45"/>
      <c r="AO11" s="33"/>
      <c r="AP11" s="44"/>
      <c r="AQ11" s="45"/>
      <c r="AR11" s="45"/>
      <c r="AS11" s="33"/>
      <c r="AT11" s="79"/>
      <c r="AU11" s="80"/>
      <c r="AV11" s="80"/>
      <c r="AW11" s="86"/>
      <c r="AX11" s="91"/>
      <c r="AY11" s="80"/>
      <c r="AZ11" s="80"/>
      <c r="BA11" s="92"/>
      <c r="BB11" s="88"/>
      <c r="BC11" s="80"/>
      <c r="BD11" s="80"/>
      <c r="BE11" s="81"/>
      <c r="BF11" s="84"/>
      <c r="BG11" s="80"/>
      <c r="BH11" s="80"/>
      <c r="BI11" s="80"/>
      <c r="BJ11" s="86"/>
      <c r="BK11" s="91"/>
      <c r="BL11" s="80"/>
      <c r="BM11" s="80"/>
      <c r="BN11" s="92"/>
      <c r="BO11" s="88"/>
      <c r="BP11" s="80"/>
      <c r="BQ11" s="80"/>
      <c r="BR11" s="86"/>
      <c r="BS11" s="91"/>
      <c r="BT11" s="80"/>
      <c r="BU11" s="80"/>
      <c r="BV11" s="80"/>
      <c r="BW11" s="81"/>
      <c r="BX11" s="84"/>
      <c r="BY11" s="80"/>
      <c r="BZ11" s="80"/>
      <c r="CA11" s="80"/>
      <c r="CB11" s="80"/>
      <c r="CC11" s="84"/>
      <c r="CD11" s="80"/>
      <c r="CE11" s="80"/>
      <c r="CF11" s="80"/>
      <c r="CG11" s="84"/>
      <c r="CH11" s="80"/>
      <c r="CI11" s="80"/>
      <c r="CJ11" s="80"/>
      <c r="CK11" s="80"/>
      <c r="CL11" s="84"/>
      <c r="CM11" s="80"/>
      <c r="CN11" s="80"/>
      <c r="CO11" s="80"/>
      <c r="CP11" s="84"/>
      <c r="CQ11" s="80"/>
      <c r="CR11" s="80"/>
      <c r="CS11" s="80"/>
      <c r="CT11" s="84"/>
      <c r="CU11" s="88"/>
      <c r="CV11" s="80"/>
      <c r="CW11" s="80"/>
      <c r="CX11" s="80"/>
      <c r="CY11" s="84"/>
      <c r="CZ11" s="80"/>
      <c r="DA11" s="80"/>
      <c r="DB11" s="70"/>
      <c r="DC11" s="84"/>
      <c r="DD11" s="80"/>
      <c r="DE11" s="80"/>
      <c r="DF11" s="70"/>
      <c r="DG11" s="84"/>
      <c r="DH11" s="80"/>
      <c r="DI11" s="80"/>
      <c r="DJ11" s="80"/>
      <c r="DK11" s="70"/>
      <c r="DL11" s="84"/>
      <c r="DM11" s="80"/>
      <c r="DN11" s="80"/>
      <c r="DO11" s="70"/>
      <c r="DP11" s="84"/>
      <c r="DQ11" s="80"/>
      <c r="DR11" s="80"/>
      <c r="DS11" s="105"/>
      <c r="DT11" s="84"/>
      <c r="DU11" s="80"/>
      <c r="DV11" s="80"/>
      <c r="DW11" s="80"/>
      <c r="DX11" s="105"/>
      <c r="DY11" s="84"/>
      <c r="DZ11" s="80"/>
      <c r="EA11" s="80"/>
      <c r="EB11" s="80"/>
    </row>
    <row r="12" spans="2:132" ht="18" customHeight="1" x14ac:dyDescent="0.35">
      <c r="B12" s="200"/>
      <c r="C12" s="254"/>
      <c r="D12" s="181"/>
      <c r="E12" s="220"/>
      <c r="F12" s="220"/>
      <c r="G12" s="184"/>
      <c r="H12" s="183"/>
      <c r="I12" s="183"/>
      <c r="J12" s="183"/>
      <c r="K12" s="34"/>
      <c r="L12" s="183"/>
      <c r="M12" s="183"/>
      <c r="N12" s="183"/>
      <c r="O12" s="183"/>
      <c r="P12" s="31"/>
      <c r="Q12" s="32"/>
      <c r="R12" s="32"/>
      <c r="S12" s="35"/>
      <c r="T12" s="31"/>
      <c r="U12" s="32"/>
      <c r="V12" s="32"/>
      <c r="W12" s="35"/>
      <c r="X12" s="31"/>
      <c r="Y12" s="32"/>
      <c r="Z12" s="32"/>
      <c r="AA12" s="42"/>
      <c r="AB12" s="35"/>
      <c r="AC12" s="31"/>
      <c r="AD12" s="32"/>
      <c r="AE12" s="32"/>
      <c r="AF12" s="35"/>
      <c r="AG12" s="31"/>
      <c r="AH12" s="32"/>
      <c r="AI12" s="32"/>
      <c r="AJ12" s="35"/>
      <c r="AK12" s="31"/>
      <c r="AL12" s="32"/>
      <c r="AM12" s="32"/>
      <c r="AN12" s="32"/>
      <c r="AO12" s="35"/>
      <c r="AP12" s="31"/>
      <c r="AQ12" s="32"/>
      <c r="AR12" s="32"/>
      <c r="AS12" s="35"/>
      <c r="AT12" s="76"/>
      <c r="AU12" s="77"/>
      <c r="AV12" s="77"/>
      <c r="AW12" s="85"/>
      <c r="AX12" s="89"/>
      <c r="AY12" s="77"/>
      <c r="AZ12" s="77"/>
      <c r="BA12" s="90"/>
      <c r="BB12" s="87"/>
      <c r="BC12" s="77"/>
      <c r="BD12" s="77"/>
      <c r="BE12" s="78"/>
      <c r="BF12" s="83"/>
      <c r="BG12" s="77"/>
      <c r="BH12" s="77"/>
      <c r="BI12" s="77"/>
      <c r="BJ12" s="85"/>
      <c r="BK12" s="89"/>
      <c r="BL12" s="77"/>
      <c r="BM12" s="77"/>
      <c r="BN12" s="90"/>
      <c r="BO12" s="87"/>
      <c r="BP12" s="77"/>
      <c r="BQ12" s="77"/>
      <c r="BR12" s="85"/>
      <c r="BS12" s="89"/>
      <c r="BT12" s="77"/>
      <c r="BU12" s="77"/>
      <c r="BV12" s="77"/>
      <c r="BW12" s="78"/>
      <c r="BX12" s="83"/>
      <c r="BY12" s="77"/>
      <c r="BZ12" s="77"/>
      <c r="CA12" s="77"/>
      <c r="CB12" s="77"/>
      <c r="CC12" s="83"/>
      <c r="CD12" s="77"/>
      <c r="CE12" s="77"/>
      <c r="CF12" s="77"/>
      <c r="CG12" s="83"/>
      <c r="CH12" s="77"/>
      <c r="CI12" s="77"/>
      <c r="CJ12" s="77"/>
      <c r="CK12" s="77"/>
      <c r="CL12" s="83"/>
      <c r="CM12" s="77"/>
      <c r="CN12" s="77"/>
      <c r="CO12" s="77"/>
      <c r="CP12" s="83"/>
      <c r="CQ12" s="77"/>
      <c r="CR12" s="77"/>
      <c r="CS12" s="77"/>
      <c r="CT12" s="83"/>
      <c r="CU12" s="87"/>
      <c r="CV12" s="77"/>
      <c r="CW12" s="77"/>
      <c r="CX12" s="77"/>
      <c r="CY12" s="83"/>
      <c r="CZ12" s="77"/>
      <c r="DA12" s="77"/>
      <c r="DB12" s="70"/>
      <c r="DC12" s="83"/>
      <c r="DD12" s="77"/>
      <c r="DE12" s="77"/>
      <c r="DF12" s="70"/>
      <c r="DG12" s="83"/>
      <c r="DH12" s="77"/>
      <c r="DI12" s="77"/>
      <c r="DJ12" s="77"/>
      <c r="DK12" s="70"/>
      <c r="DL12" s="83"/>
      <c r="DM12" s="77"/>
      <c r="DN12" s="77"/>
      <c r="DO12" s="70"/>
      <c r="DP12" s="83"/>
      <c r="DQ12" s="77"/>
      <c r="DR12" s="77"/>
      <c r="DS12" s="105"/>
      <c r="DT12" s="83"/>
      <c r="DU12" s="77"/>
      <c r="DV12" s="77"/>
      <c r="DW12" s="77"/>
      <c r="DX12" s="105"/>
      <c r="DY12" s="83"/>
      <c r="DZ12" s="77"/>
      <c r="EA12" s="77"/>
      <c r="EB12" s="77"/>
    </row>
    <row r="13" spans="2:132" s="3" customFormat="1" ht="107.25" customHeight="1" thickBot="1" x14ac:dyDescent="0.4">
      <c r="B13" s="200"/>
      <c r="C13" s="269"/>
      <c r="D13" s="196"/>
      <c r="E13" s="221"/>
      <c r="F13" s="221"/>
      <c r="G13" s="195"/>
      <c r="H13" s="186"/>
      <c r="I13" s="186"/>
      <c r="J13" s="186"/>
      <c r="K13" s="187"/>
      <c r="L13" s="186"/>
      <c r="M13" s="186"/>
      <c r="N13" s="186"/>
      <c r="O13" s="186"/>
      <c r="P13" s="188"/>
      <c r="Q13" s="189"/>
      <c r="R13" s="189"/>
      <c r="S13" s="190"/>
      <c r="T13" s="188"/>
      <c r="U13" s="189"/>
      <c r="V13" s="189"/>
      <c r="W13" s="190"/>
      <c r="X13" s="188"/>
      <c r="Y13" s="189"/>
      <c r="Z13" s="189"/>
      <c r="AA13" s="191"/>
      <c r="AB13" s="190"/>
      <c r="AC13" s="188"/>
      <c r="AD13" s="189"/>
      <c r="AE13" s="189"/>
      <c r="AF13" s="190"/>
      <c r="AG13" s="188"/>
      <c r="AH13" s="189"/>
      <c r="AI13" s="189"/>
      <c r="AJ13" s="190"/>
      <c r="AK13" s="188"/>
      <c r="AL13" s="189"/>
      <c r="AM13" s="189"/>
      <c r="AN13" s="189"/>
      <c r="AO13" s="190"/>
      <c r="AP13" s="188"/>
      <c r="AQ13" s="189"/>
      <c r="AR13" s="189"/>
      <c r="AS13" s="190"/>
      <c r="AT13" s="192"/>
      <c r="AU13" s="131"/>
      <c r="AV13" s="131"/>
      <c r="AW13" s="133"/>
      <c r="AX13" s="193"/>
      <c r="AY13" s="131"/>
      <c r="AZ13" s="131"/>
      <c r="BA13" s="194"/>
      <c r="BB13" s="134"/>
      <c r="BC13" s="131"/>
      <c r="BD13" s="131"/>
      <c r="BE13" s="142"/>
      <c r="BF13" s="132"/>
      <c r="BG13" s="131"/>
      <c r="BH13" s="131"/>
      <c r="BI13" s="131"/>
      <c r="BJ13" s="133"/>
      <c r="BK13" s="193"/>
      <c r="BL13" s="131"/>
      <c r="BM13" s="131"/>
      <c r="BN13" s="194"/>
      <c r="BO13" s="134"/>
      <c r="BP13" s="131"/>
      <c r="BQ13" s="131"/>
      <c r="BR13" s="133"/>
      <c r="BS13" s="193"/>
      <c r="BT13" s="131"/>
      <c r="BU13" s="131"/>
      <c r="BV13" s="131"/>
      <c r="BW13" s="142"/>
      <c r="BX13" s="132"/>
      <c r="BY13" s="131"/>
      <c r="BZ13" s="131"/>
      <c r="CA13" s="131"/>
      <c r="CB13" s="131"/>
      <c r="CC13" s="132"/>
      <c r="CD13" s="131"/>
      <c r="CE13" s="131"/>
      <c r="CF13" s="131"/>
      <c r="CG13" s="132"/>
      <c r="CH13" s="131"/>
      <c r="CI13" s="131"/>
      <c r="CK13" s="131"/>
      <c r="CL13" s="132"/>
      <c r="CM13" s="131"/>
      <c r="CN13" s="131"/>
      <c r="CO13" s="131"/>
      <c r="CP13" s="132"/>
      <c r="CQ13" s="131"/>
      <c r="CR13" s="131"/>
      <c r="CS13" s="131"/>
      <c r="CT13" s="132"/>
      <c r="CU13" s="134"/>
      <c r="CV13" s="131"/>
      <c r="CW13" s="131"/>
      <c r="CX13" s="131"/>
      <c r="CY13" s="132"/>
      <c r="DA13" s="131"/>
      <c r="DB13" s="99"/>
      <c r="DC13" s="132"/>
      <c r="DD13" s="131"/>
      <c r="DE13" s="131"/>
      <c r="DF13" s="99"/>
      <c r="DG13" s="132"/>
      <c r="DH13" s="131"/>
      <c r="DI13" s="131"/>
      <c r="DJ13" s="131"/>
      <c r="DK13" s="99"/>
      <c r="DL13" s="132"/>
      <c r="DM13" s="131"/>
      <c r="DN13" s="131"/>
      <c r="DO13" s="99"/>
      <c r="DP13" s="132"/>
      <c r="DQ13" s="131"/>
      <c r="DR13" s="131"/>
      <c r="DS13" s="109"/>
      <c r="DT13" s="132"/>
      <c r="DU13" s="131"/>
      <c r="DV13" s="131"/>
      <c r="DW13" s="131"/>
      <c r="DX13" s="109"/>
      <c r="DY13" s="132"/>
      <c r="DZ13" s="131"/>
      <c r="EA13" s="131"/>
      <c r="EB13" s="131"/>
    </row>
    <row r="14" spans="2:132" s="2" customFormat="1" ht="18" customHeight="1" x14ac:dyDescent="0.35">
      <c r="B14" s="200"/>
      <c r="C14" s="270" t="s">
        <v>45</v>
      </c>
      <c r="D14" s="110"/>
      <c r="E14" s="219" t="s">
        <v>46</v>
      </c>
      <c r="F14" s="219" t="s">
        <v>47</v>
      </c>
      <c r="G14" s="101"/>
      <c r="H14" s="43"/>
      <c r="I14" s="14"/>
      <c r="J14" s="14"/>
      <c r="K14" s="30"/>
      <c r="L14" s="14"/>
      <c r="M14" s="14"/>
      <c r="N14" s="14"/>
      <c r="O14" s="14"/>
      <c r="P14" s="44"/>
      <c r="Q14" s="45"/>
      <c r="R14" s="45"/>
      <c r="S14" s="33"/>
      <c r="T14" s="44"/>
      <c r="U14" s="45"/>
      <c r="V14" s="45"/>
      <c r="W14" s="33"/>
      <c r="X14" s="44"/>
      <c r="Y14" s="45"/>
      <c r="Z14" s="45"/>
      <c r="AA14" s="46"/>
      <c r="AB14" s="33"/>
      <c r="AC14" s="44"/>
      <c r="AD14" s="45"/>
      <c r="AE14" s="45"/>
      <c r="AF14" s="33"/>
      <c r="AG14" s="44"/>
      <c r="AH14" s="45"/>
      <c r="AI14" s="45"/>
      <c r="AJ14" s="33"/>
      <c r="AK14" s="44"/>
      <c r="AL14" s="45"/>
      <c r="AM14" s="45"/>
      <c r="AN14" s="45"/>
      <c r="AO14" s="33"/>
      <c r="AP14" s="44"/>
      <c r="AQ14" s="45"/>
      <c r="AR14" s="45"/>
      <c r="AS14" s="33"/>
      <c r="AT14" s="79"/>
      <c r="AU14" s="80"/>
      <c r="AV14" s="80"/>
      <c r="AW14" s="86"/>
      <c r="AX14" s="91"/>
      <c r="AY14" s="80"/>
      <c r="AZ14" s="80"/>
      <c r="BA14" s="92"/>
      <c r="BB14" s="88"/>
      <c r="BC14" s="80"/>
      <c r="BD14" s="80"/>
      <c r="BE14" s="81"/>
      <c r="BF14" s="84"/>
      <c r="BG14" s="80"/>
      <c r="BH14" s="80"/>
      <c r="BI14" s="80"/>
      <c r="BJ14" s="86"/>
      <c r="BK14" s="91"/>
      <c r="BL14" s="80"/>
      <c r="BM14" s="80"/>
      <c r="BN14" s="92"/>
      <c r="BO14" s="88"/>
      <c r="BP14" s="80"/>
      <c r="BQ14" s="80"/>
      <c r="BR14" s="86"/>
      <c r="BS14" s="91"/>
      <c r="BT14" s="80"/>
      <c r="BU14" s="80"/>
      <c r="BV14" s="80"/>
      <c r="BW14" s="81"/>
      <c r="BX14" s="84"/>
      <c r="BY14" s="80"/>
      <c r="BZ14" s="80"/>
      <c r="CA14" s="80"/>
      <c r="CB14" s="80"/>
      <c r="CC14" s="84"/>
      <c r="CD14" s="80"/>
      <c r="CE14" s="80"/>
      <c r="CF14" s="80"/>
      <c r="CG14" s="84"/>
      <c r="CH14" s="80"/>
      <c r="CI14" s="80"/>
      <c r="CJ14" s="80"/>
      <c r="CK14" s="80"/>
      <c r="CL14" s="84"/>
      <c r="CM14" s="80"/>
      <c r="CN14" s="80"/>
      <c r="CO14" s="80"/>
      <c r="CP14" s="84"/>
      <c r="CQ14" s="80"/>
      <c r="CR14" s="80"/>
      <c r="CS14" s="80"/>
      <c r="CT14" s="84"/>
      <c r="CU14" s="88"/>
      <c r="CV14" s="80"/>
      <c r="CW14" s="80"/>
      <c r="CX14" s="80"/>
      <c r="CY14" s="84"/>
      <c r="CZ14" s="80"/>
      <c r="DA14" s="80"/>
      <c r="DB14" s="70"/>
      <c r="DC14" s="84"/>
      <c r="DD14" s="80"/>
      <c r="DE14" s="80"/>
      <c r="DF14" s="70"/>
      <c r="DG14" s="84"/>
      <c r="DH14" s="80"/>
      <c r="DI14" s="80"/>
      <c r="DJ14" s="80"/>
      <c r="DK14" s="70"/>
      <c r="DL14" s="84"/>
      <c r="DM14" s="80"/>
      <c r="DN14" s="80"/>
      <c r="DO14" s="70"/>
      <c r="DP14" s="84"/>
      <c r="DQ14" s="80"/>
      <c r="DR14" s="80"/>
      <c r="DS14" s="105"/>
      <c r="DT14" s="84"/>
      <c r="DU14" s="80"/>
      <c r="DV14" s="80"/>
      <c r="DW14" s="80"/>
      <c r="DX14" s="105"/>
      <c r="DY14" s="84"/>
      <c r="DZ14" s="80"/>
      <c r="EA14" s="80"/>
      <c r="EB14" s="80"/>
    </row>
    <row r="15" spans="2:132" ht="18" customHeight="1" x14ac:dyDescent="0.35">
      <c r="B15" s="200"/>
      <c r="C15" s="254"/>
      <c r="D15" s="181"/>
      <c r="E15" s="220"/>
      <c r="F15" s="220"/>
      <c r="G15" s="184"/>
      <c r="H15" s="183"/>
      <c r="I15" s="183"/>
      <c r="J15" s="183"/>
      <c r="K15" s="34"/>
      <c r="L15" s="183"/>
      <c r="M15" s="183"/>
      <c r="N15" s="183"/>
      <c r="O15" s="183"/>
      <c r="P15" s="31"/>
      <c r="Q15" s="32"/>
      <c r="R15" s="32"/>
      <c r="S15" s="35"/>
      <c r="T15" s="31"/>
      <c r="U15" s="32"/>
      <c r="V15" s="32"/>
      <c r="W15" s="35"/>
      <c r="X15" s="31"/>
      <c r="Y15" s="32"/>
      <c r="Z15" s="32"/>
      <c r="AA15" s="42"/>
      <c r="AB15" s="35"/>
      <c r="AC15" s="31"/>
      <c r="AD15" s="32"/>
      <c r="AE15" s="32"/>
      <c r="AF15" s="35"/>
      <c r="AG15" s="31"/>
      <c r="AH15" s="32"/>
      <c r="AI15" s="32"/>
      <c r="AJ15" s="35"/>
      <c r="AK15" s="31"/>
      <c r="AL15" s="32"/>
      <c r="AM15" s="32"/>
      <c r="AN15" s="32"/>
      <c r="AO15" s="35"/>
      <c r="AP15" s="31"/>
      <c r="AQ15" s="32"/>
      <c r="AR15" s="32"/>
      <c r="AS15" s="35"/>
      <c r="AT15" s="76"/>
      <c r="AU15" s="77"/>
      <c r="AV15" s="77"/>
      <c r="AW15" s="85"/>
      <c r="AX15" s="89"/>
      <c r="AY15" s="77"/>
      <c r="AZ15" s="77"/>
      <c r="BA15" s="90"/>
      <c r="BB15" s="87"/>
      <c r="BC15" s="77"/>
      <c r="BD15" s="77"/>
      <c r="BE15" s="78"/>
      <c r="BF15" s="83"/>
      <c r="BG15" s="77"/>
      <c r="BH15" s="77"/>
      <c r="BI15" s="77"/>
      <c r="BJ15" s="85"/>
      <c r="BK15" s="89"/>
      <c r="BL15" s="77"/>
      <c r="BM15" s="77"/>
      <c r="BN15" s="90"/>
      <c r="BO15" s="87"/>
      <c r="BP15" s="77"/>
      <c r="BQ15" s="77"/>
      <c r="BR15" s="85"/>
      <c r="BS15" s="89"/>
      <c r="BT15" s="77"/>
      <c r="BU15" s="77"/>
      <c r="BV15" s="77"/>
      <c r="BW15" s="78"/>
      <c r="BX15" s="83"/>
      <c r="BY15" s="77"/>
      <c r="BZ15" s="77"/>
      <c r="CA15" s="77"/>
      <c r="CB15" s="77"/>
      <c r="CC15" s="83"/>
      <c r="CD15" s="77"/>
      <c r="CE15" s="77"/>
      <c r="CF15" s="77"/>
      <c r="CG15" s="83"/>
      <c r="CH15" s="77"/>
      <c r="CI15" s="77"/>
      <c r="CJ15" s="77"/>
      <c r="CK15" s="77"/>
      <c r="CL15" s="83"/>
      <c r="CM15" s="77"/>
      <c r="CN15" s="77"/>
      <c r="CO15" s="77"/>
      <c r="CP15" s="83"/>
      <c r="CQ15" s="77"/>
      <c r="CR15" s="77"/>
      <c r="CS15" s="77"/>
      <c r="CT15" s="83"/>
      <c r="CU15" s="87"/>
      <c r="CV15" s="77"/>
      <c r="CW15" s="77"/>
      <c r="CX15" s="77"/>
      <c r="CY15" s="83"/>
      <c r="CZ15" s="77"/>
      <c r="DA15" s="77"/>
      <c r="DB15" s="70"/>
      <c r="DC15" s="83"/>
      <c r="DD15" s="77"/>
      <c r="DE15" s="77"/>
      <c r="DF15" s="70"/>
      <c r="DG15" s="83"/>
      <c r="DH15" s="77"/>
      <c r="DI15" s="77"/>
      <c r="DJ15" s="77"/>
      <c r="DK15" s="70"/>
      <c r="DL15" s="83"/>
      <c r="DM15" s="77"/>
      <c r="DN15" s="77"/>
      <c r="DO15" s="70"/>
      <c r="DP15" s="83"/>
      <c r="DQ15" s="77"/>
      <c r="DR15" s="77"/>
      <c r="DS15" s="105"/>
      <c r="DT15" s="83"/>
      <c r="DU15" s="77"/>
      <c r="DV15" s="77"/>
      <c r="DW15" s="77"/>
      <c r="DX15" s="105"/>
      <c r="DY15" s="83"/>
      <c r="DZ15" s="77"/>
      <c r="EA15" s="77"/>
      <c r="EB15" s="77"/>
    </row>
    <row r="16" spans="2:132" s="3" customFormat="1" ht="107.25" customHeight="1" thickBot="1" x14ac:dyDescent="0.4">
      <c r="B16" s="200"/>
      <c r="C16" s="269"/>
      <c r="D16" s="196"/>
      <c r="E16" s="221"/>
      <c r="F16" s="221"/>
      <c r="G16" s="195"/>
      <c r="H16" s="186"/>
      <c r="I16" s="186"/>
      <c r="J16" s="186"/>
      <c r="K16" s="187"/>
      <c r="L16" s="186"/>
      <c r="M16" s="186"/>
      <c r="N16" s="186"/>
      <c r="O16" s="186"/>
      <c r="P16" s="188"/>
      <c r="Q16" s="189"/>
      <c r="R16" s="189"/>
      <c r="S16" s="190"/>
      <c r="T16" s="188"/>
      <c r="U16" s="189"/>
      <c r="V16" s="189"/>
      <c r="W16" s="190"/>
      <c r="X16" s="188"/>
      <c r="Y16" s="189"/>
      <c r="Z16" s="189"/>
      <c r="AA16" s="191"/>
      <c r="AB16" s="190"/>
      <c r="AC16" s="188"/>
      <c r="AD16" s="189"/>
      <c r="AE16" s="189"/>
      <c r="AF16" s="190"/>
      <c r="AG16" s="188"/>
      <c r="AH16" s="189"/>
      <c r="AI16" s="189"/>
      <c r="AJ16" s="190"/>
      <c r="AK16" s="188"/>
      <c r="AL16" s="189"/>
      <c r="AM16" s="189"/>
      <c r="AN16" s="189"/>
      <c r="AO16" s="190"/>
      <c r="AP16" s="188"/>
      <c r="AQ16" s="189"/>
      <c r="AR16" s="189"/>
      <c r="AS16" s="190"/>
      <c r="AT16" s="192"/>
      <c r="AU16" s="131"/>
      <c r="AV16" s="131"/>
      <c r="AW16" s="133"/>
      <c r="AX16" s="193"/>
      <c r="AY16" s="131"/>
      <c r="AZ16" s="131"/>
      <c r="BA16" s="194"/>
      <c r="BB16" s="134"/>
      <c r="BC16" s="131"/>
      <c r="BD16" s="131"/>
      <c r="BE16" s="142"/>
      <c r="BF16" s="132"/>
      <c r="BG16" s="131"/>
      <c r="BH16" s="131"/>
      <c r="BI16" s="131"/>
      <c r="BJ16" s="133"/>
      <c r="BK16" s="193"/>
      <c r="BL16" s="131"/>
      <c r="BM16" s="131"/>
      <c r="BN16" s="194"/>
      <c r="BO16" s="134"/>
      <c r="BP16" s="131"/>
      <c r="BQ16" s="131"/>
      <c r="BR16" s="133"/>
      <c r="BS16" s="193"/>
      <c r="BT16" s="131"/>
      <c r="BU16" s="131"/>
      <c r="BV16" s="131"/>
      <c r="BW16" s="142"/>
      <c r="BX16" s="132"/>
      <c r="BY16" s="131"/>
      <c r="BZ16" s="131"/>
      <c r="CA16" s="131"/>
      <c r="CB16" s="131"/>
      <c r="CC16" s="132"/>
      <c r="CD16" s="131"/>
      <c r="CE16" s="131"/>
      <c r="CF16" s="131"/>
      <c r="CG16" s="132"/>
      <c r="CH16" s="131"/>
      <c r="CI16" s="131"/>
      <c r="CK16" s="131"/>
      <c r="CL16" s="132"/>
      <c r="CM16" s="131"/>
      <c r="CN16" s="131"/>
      <c r="CO16" s="131"/>
      <c r="CP16" s="132"/>
      <c r="CQ16" s="131"/>
      <c r="CR16" s="131"/>
      <c r="CS16" s="131"/>
      <c r="CT16" s="132"/>
      <c r="CU16" s="134"/>
      <c r="CV16" s="131"/>
      <c r="CW16" s="131"/>
      <c r="CX16" s="131"/>
      <c r="CY16" s="132"/>
      <c r="DA16" s="131"/>
      <c r="DB16" s="99"/>
      <c r="DC16" s="132"/>
      <c r="DD16" s="131"/>
      <c r="DE16" s="131"/>
      <c r="DF16" s="99"/>
      <c r="DG16" s="132"/>
      <c r="DH16" s="131"/>
      <c r="DI16" s="131"/>
      <c r="DJ16" s="131"/>
      <c r="DK16" s="99"/>
      <c r="DL16" s="132"/>
      <c r="DM16" s="131"/>
      <c r="DN16" s="131"/>
      <c r="DO16" s="99"/>
      <c r="DP16" s="132"/>
      <c r="DQ16" s="131"/>
      <c r="DR16" s="131"/>
      <c r="DS16" s="109"/>
      <c r="DT16" s="132"/>
      <c r="DU16" s="131"/>
      <c r="DV16" s="131"/>
      <c r="DW16" s="131"/>
      <c r="DX16" s="109"/>
      <c r="DY16" s="132"/>
      <c r="DZ16" s="131"/>
      <c r="EA16" s="131"/>
      <c r="EB16" s="131"/>
    </row>
    <row r="17" spans="2:132" s="2" customFormat="1" ht="18" customHeight="1" x14ac:dyDescent="0.35">
      <c r="B17" s="214" t="s">
        <v>48</v>
      </c>
      <c r="C17" s="270" t="s">
        <v>49</v>
      </c>
      <c r="D17" s="110"/>
      <c r="E17" s="219" t="s">
        <v>50</v>
      </c>
      <c r="F17" s="219" t="s">
        <v>51</v>
      </c>
      <c r="G17" s="101"/>
      <c r="H17" s="43"/>
      <c r="I17" s="14"/>
      <c r="J17" s="14"/>
      <c r="K17" s="30"/>
      <c r="L17" s="14"/>
      <c r="M17" s="14"/>
      <c r="N17" s="14"/>
      <c r="O17" s="14"/>
      <c r="P17" s="44"/>
      <c r="Q17" s="45"/>
      <c r="R17" s="45"/>
      <c r="S17" s="33"/>
      <c r="T17" s="44"/>
      <c r="U17" s="45"/>
      <c r="V17" s="45"/>
      <c r="W17" s="33"/>
      <c r="X17" s="44"/>
      <c r="Y17" s="45"/>
      <c r="Z17" s="45"/>
      <c r="AA17" s="46"/>
      <c r="AB17" s="33"/>
      <c r="AC17" s="44"/>
      <c r="AD17" s="45"/>
      <c r="AE17" s="45"/>
      <c r="AF17" s="33"/>
      <c r="AG17" s="44"/>
      <c r="AH17" s="45"/>
      <c r="AI17" s="45"/>
      <c r="AJ17" s="33"/>
      <c r="AK17" s="44"/>
      <c r="AL17" s="45"/>
      <c r="AM17" s="45"/>
      <c r="AN17" s="45"/>
      <c r="AO17" s="33"/>
      <c r="AP17" s="44"/>
      <c r="AQ17" s="45"/>
      <c r="AR17" s="45"/>
      <c r="AS17" s="33"/>
      <c r="AT17" s="79"/>
      <c r="AU17" s="80"/>
      <c r="AV17" s="80"/>
      <c r="AW17" s="86"/>
      <c r="AX17" s="91"/>
      <c r="AY17" s="80"/>
      <c r="AZ17" s="80"/>
      <c r="BA17" s="92"/>
      <c r="BB17" s="88"/>
      <c r="BC17" s="80"/>
      <c r="BD17" s="80"/>
      <c r="BE17" s="81"/>
      <c r="BF17" s="84"/>
      <c r="BG17" s="80"/>
      <c r="BH17" s="80"/>
      <c r="BI17" s="80"/>
      <c r="BJ17" s="86"/>
      <c r="BK17" s="91"/>
      <c r="BL17" s="80"/>
      <c r="BM17" s="80"/>
      <c r="BN17" s="92"/>
      <c r="BO17" s="88"/>
      <c r="BP17" s="80"/>
      <c r="BQ17" s="80"/>
      <c r="BR17" s="86"/>
      <c r="BS17" s="91"/>
      <c r="BT17" s="80"/>
      <c r="BU17" s="80"/>
      <c r="BV17" s="80"/>
      <c r="BW17" s="81"/>
      <c r="BX17" s="84"/>
      <c r="BY17" s="80"/>
      <c r="BZ17" s="80"/>
      <c r="CA17" s="80"/>
      <c r="CB17" s="80"/>
      <c r="CC17" s="84"/>
      <c r="CD17" s="80"/>
      <c r="CE17" s="80"/>
      <c r="CF17" s="80"/>
      <c r="CG17" s="84"/>
      <c r="CH17" s="80"/>
      <c r="CI17" s="80"/>
      <c r="CJ17" s="80"/>
      <c r="CK17" s="80"/>
      <c r="CL17" s="84"/>
      <c r="CM17" s="80"/>
      <c r="CN17" s="80"/>
      <c r="CO17" s="80"/>
      <c r="CP17" s="84"/>
      <c r="CQ17" s="80"/>
      <c r="CR17" s="80"/>
      <c r="CS17" s="80"/>
      <c r="CT17" s="84"/>
      <c r="CU17" s="88"/>
      <c r="CV17" s="80"/>
      <c r="CW17" s="80"/>
      <c r="CX17" s="80"/>
      <c r="CY17" s="84"/>
      <c r="CZ17" s="80"/>
      <c r="DA17" s="80"/>
      <c r="DB17" s="70"/>
      <c r="DC17" s="84"/>
      <c r="DD17" s="80"/>
      <c r="DE17" s="80"/>
      <c r="DF17" s="70"/>
      <c r="DG17" s="84"/>
      <c r="DH17" s="80"/>
      <c r="DI17" s="80"/>
      <c r="DJ17" s="80"/>
      <c r="DK17" s="70"/>
      <c r="DL17" s="84"/>
      <c r="DM17" s="80"/>
      <c r="DN17" s="80"/>
      <c r="DO17" s="70"/>
      <c r="DP17" s="84"/>
      <c r="DQ17" s="80"/>
      <c r="DR17" s="80"/>
      <c r="DS17" s="105"/>
      <c r="DT17" s="84"/>
      <c r="DU17" s="80"/>
      <c r="DV17" s="80"/>
      <c r="DW17" s="80"/>
      <c r="DX17" s="105"/>
      <c r="DY17" s="84"/>
      <c r="DZ17" s="80"/>
      <c r="EA17" s="80"/>
      <c r="EB17" s="80"/>
    </row>
    <row r="18" spans="2:132" ht="18" customHeight="1" x14ac:dyDescent="0.35">
      <c r="B18" s="214"/>
      <c r="C18" s="254"/>
      <c r="D18" s="181"/>
      <c r="E18" s="220"/>
      <c r="F18" s="220"/>
      <c r="G18" s="184"/>
      <c r="H18" s="183"/>
      <c r="I18" s="183"/>
      <c r="J18" s="183"/>
      <c r="K18" s="34"/>
      <c r="L18" s="183"/>
      <c r="M18" s="183"/>
      <c r="N18" s="183"/>
      <c r="O18" s="183"/>
      <c r="P18" s="31"/>
      <c r="Q18" s="32"/>
      <c r="R18" s="32"/>
      <c r="S18" s="35"/>
      <c r="T18" s="31"/>
      <c r="U18" s="32"/>
      <c r="V18" s="32"/>
      <c r="W18" s="35"/>
      <c r="X18" s="31"/>
      <c r="Y18" s="32"/>
      <c r="Z18" s="32"/>
      <c r="AA18" s="42"/>
      <c r="AB18" s="35"/>
      <c r="AC18" s="31"/>
      <c r="AD18" s="32"/>
      <c r="AE18" s="32"/>
      <c r="AF18" s="35"/>
      <c r="AG18" s="31"/>
      <c r="AH18" s="32"/>
      <c r="AI18" s="32"/>
      <c r="AJ18" s="35"/>
      <c r="AK18" s="31"/>
      <c r="AL18" s="32"/>
      <c r="AM18" s="32"/>
      <c r="AN18" s="32"/>
      <c r="AO18" s="35"/>
      <c r="AP18" s="31"/>
      <c r="AQ18" s="32"/>
      <c r="AR18" s="32"/>
      <c r="AS18" s="35"/>
      <c r="AT18" s="76"/>
      <c r="AU18" s="77"/>
      <c r="AV18" s="77"/>
      <c r="AW18" s="85"/>
      <c r="AX18" s="89"/>
      <c r="AY18" s="77"/>
      <c r="AZ18" s="77"/>
      <c r="BA18" s="90"/>
      <c r="BB18" s="87"/>
      <c r="BC18" s="77"/>
      <c r="BD18" s="77"/>
      <c r="BE18" s="78"/>
      <c r="BF18" s="83"/>
      <c r="BG18" s="77"/>
      <c r="BH18" s="77"/>
      <c r="BI18" s="77"/>
      <c r="BJ18" s="85"/>
      <c r="BK18" s="89"/>
      <c r="BL18" s="77"/>
      <c r="BM18" s="77"/>
      <c r="BN18" s="90"/>
      <c r="BO18" s="87"/>
      <c r="BP18" s="77"/>
      <c r="BQ18" s="77"/>
      <c r="BR18" s="85"/>
      <c r="BS18" s="89"/>
      <c r="BT18" s="77"/>
      <c r="BU18" s="77"/>
      <c r="BV18" s="77"/>
      <c r="BW18" s="78"/>
      <c r="BX18" s="83"/>
      <c r="BY18" s="77"/>
      <c r="BZ18" s="77"/>
      <c r="CA18" s="77"/>
      <c r="CB18" s="77"/>
      <c r="CC18" s="83"/>
      <c r="CD18" s="77"/>
      <c r="CE18" s="77"/>
      <c r="CF18" s="77"/>
      <c r="CG18" s="83"/>
      <c r="CH18" s="77"/>
      <c r="CI18" s="77"/>
      <c r="CJ18" s="77"/>
      <c r="CK18" s="77"/>
      <c r="CL18" s="83"/>
      <c r="CM18" s="77"/>
      <c r="CN18" s="77"/>
      <c r="CO18" s="77"/>
      <c r="CP18" s="83"/>
      <c r="CQ18" s="77"/>
      <c r="CR18" s="77"/>
      <c r="CS18" s="77"/>
      <c r="CT18" s="83"/>
      <c r="CU18" s="87"/>
      <c r="CV18" s="77"/>
      <c r="CW18" s="77"/>
      <c r="CX18" s="77"/>
      <c r="CY18" s="83"/>
      <c r="CZ18" s="77"/>
      <c r="DA18" s="77"/>
      <c r="DB18" s="70"/>
      <c r="DC18" s="83"/>
      <c r="DD18" s="77"/>
      <c r="DE18" s="77"/>
      <c r="DF18" s="70"/>
      <c r="DG18" s="83"/>
      <c r="DH18" s="77"/>
      <c r="DI18" s="77"/>
      <c r="DJ18" s="77"/>
      <c r="DK18" s="70"/>
      <c r="DL18" s="83"/>
      <c r="DM18" s="77"/>
      <c r="DN18" s="77"/>
      <c r="DO18" s="70"/>
      <c r="DP18" s="83"/>
      <c r="DQ18" s="77"/>
      <c r="DR18" s="77"/>
      <c r="DS18" s="105"/>
      <c r="DT18" s="83"/>
      <c r="DU18" s="77"/>
      <c r="DV18" s="77"/>
      <c r="DW18" s="77"/>
      <c r="DX18" s="105"/>
      <c r="DY18" s="83"/>
      <c r="DZ18" s="77"/>
      <c r="EA18" s="77"/>
      <c r="EB18" s="77"/>
    </row>
    <row r="19" spans="2:132" s="3" customFormat="1" ht="107.25" customHeight="1" thickBot="1" x14ac:dyDescent="0.4">
      <c r="B19" s="214"/>
      <c r="C19" s="269"/>
      <c r="D19" s="196"/>
      <c r="E19" s="221"/>
      <c r="F19" s="221"/>
      <c r="G19" s="195"/>
      <c r="H19" s="186"/>
      <c r="I19" s="186"/>
      <c r="J19" s="186"/>
      <c r="K19" s="187"/>
      <c r="L19" s="186"/>
      <c r="M19" s="186"/>
      <c r="N19" s="186"/>
      <c r="O19" s="186"/>
      <c r="P19" s="188"/>
      <c r="Q19" s="189"/>
      <c r="R19" s="189"/>
      <c r="S19" s="190"/>
      <c r="T19" s="188"/>
      <c r="U19" s="189"/>
      <c r="V19" s="189"/>
      <c r="W19" s="190"/>
      <c r="X19" s="188"/>
      <c r="Y19" s="189"/>
      <c r="Z19" s="189"/>
      <c r="AA19" s="191"/>
      <c r="AB19" s="190"/>
      <c r="AC19" s="188"/>
      <c r="AD19" s="189"/>
      <c r="AE19" s="189"/>
      <c r="AF19" s="190"/>
      <c r="AG19" s="188"/>
      <c r="AH19" s="189"/>
      <c r="AI19" s="189"/>
      <c r="AJ19" s="190"/>
      <c r="AK19" s="188"/>
      <c r="AL19" s="189"/>
      <c r="AM19" s="189"/>
      <c r="AN19" s="189"/>
      <c r="AO19" s="190"/>
      <c r="AP19" s="188"/>
      <c r="AQ19" s="189"/>
      <c r="AR19" s="189"/>
      <c r="AS19" s="190"/>
      <c r="AT19" s="192"/>
      <c r="AU19" s="131"/>
      <c r="AV19" s="131"/>
      <c r="AW19" s="133"/>
      <c r="AX19" s="193"/>
      <c r="AY19" s="131"/>
      <c r="AZ19" s="131"/>
      <c r="BA19" s="194"/>
      <c r="BB19" s="134"/>
      <c r="BC19" s="131"/>
      <c r="BD19" s="131"/>
      <c r="BE19" s="142"/>
      <c r="BF19" s="132"/>
      <c r="BG19" s="131"/>
      <c r="BH19" s="131"/>
      <c r="BI19" s="131"/>
      <c r="BJ19" s="133"/>
      <c r="BK19" s="193"/>
      <c r="BL19" s="131"/>
      <c r="BM19" s="131"/>
      <c r="BN19" s="194"/>
      <c r="BO19" s="134"/>
      <c r="BP19" s="131"/>
      <c r="BQ19" s="131"/>
      <c r="BR19" s="133"/>
      <c r="BS19" s="193"/>
      <c r="BT19" s="131"/>
      <c r="BU19" s="131"/>
      <c r="BV19" s="131"/>
      <c r="BW19" s="142"/>
      <c r="BX19" s="132"/>
      <c r="BY19" s="131"/>
      <c r="BZ19" s="131"/>
      <c r="CA19" s="131"/>
      <c r="CB19" s="131"/>
      <c r="CC19" s="132"/>
      <c r="CD19" s="131"/>
      <c r="CE19" s="131"/>
      <c r="CF19" s="131"/>
      <c r="CG19" s="132"/>
      <c r="CH19" s="131"/>
      <c r="CI19" s="131"/>
      <c r="CK19" s="131"/>
      <c r="CL19" s="132"/>
      <c r="CM19" s="131"/>
      <c r="CN19" s="131"/>
      <c r="CO19" s="131"/>
      <c r="CP19" s="132"/>
      <c r="CQ19" s="131"/>
      <c r="CR19" s="131"/>
      <c r="CS19" s="131"/>
      <c r="CT19" s="132"/>
      <c r="CU19" s="134"/>
      <c r="CV19" s="131"/>
      <c r="CW19" s="131"/>
      <c r="CX19" s="131"/>
      <c r="CY19" s="132"/>
      <c r="DA19" s="131"/>
      <c r="DB19" s="99"/>
      <c r="DC19" s="132"/>
      <c r="DD19" s="131"/>
      <c r="DE19" s="131"/>
      <c r="DF19" s="99"/>
      <c r="DG19" s="132"/>
      <c r="DH19" s="131"/>
      <c r="DI19" s="131"/>
      <c r="DJ19" s="131"/>
      <c r="DK19" s="99"/>
      <c r="DL19" s="132"/>
      <c r="DM19" s="131"/>
      <c r="DN19" s="131"/>
      <c r="DO19" s="99"/>
      <c r="DP19" s="132"/>
      <c r="DQ19" s="131"/>
      <c r="DR19" s="131"/>
      <c r="DS19" s="109"/>
      <c r="DT19" s="132"/>
      <c r="DU19" s="131"/>
      <c r="DV19" s="131"/>
      <c r="DW19" s="131"/>
      <c r="DX19" s="109"/>
      <c r="DY19" s="132"/>
      <c r="DZ19" s="131"/>
      <c r="EA19" s="131"/>
      <c r="EB19" s="131"/>
    </row>
    <row r="20" spans="2:132" s="2" customFormat="1" ht="18" customHeight="1" x14ac:dyDescent="0.35">
      <c r="B20" s="214"/>
      <c r="C20" s="270" t="s">
        <v>52</v>
      </c>
      <c r="D20" s="110"/>
      <c r="E20" s="219" t="s">
        <v>53</v>
      </c>
      <c r="F20" s="219"/>
      <c r="G20" s="101"/>
      <c r="H20" s="43"/>
      <c r="I20" s="14"/>
      <c r="J20" s="14"/>
      <c r="K20" s="30"/>
      <c r="L20" s="14"/>
      <c r="M20" s="14"/>
      <c r="N20" s="14"/>
      <c r="O20" s="14"/>
      <c r="P20" s="44"/>
      <c r="Q20" s="45"/>
      <c r="R20" s="45"/>
      <c r="S20" s="33"/>
      <c r="T20" s="44"/>
      <c r="U20" s="45"/>
      <c r="V20" s="45"/>
      <c r="W20" s="33"/>
      <c r="X20" s="44"/>
      <c r="Y20" s="45"/>
      <c r="Z20" s="45"/>
      <c r="AA20" s="46"/>
      <c r="AB20" s="33"/>
      <c r="AC20" s="44"/>
      <c r="AD20" s="45"/>
      <c r="AE20" s="45"/>
      <c r="AF20" s="33"/>
      <c r="AG20" s="44"/>
      <c r="AH20" s="45"/>
      <c r="AI20" s="45"/>
      <c r="AJ20" s="33"/>
      <c r="AK20" s="44"/>
      <c r="AL20" s="45"/>
      <c r="AM20" s="45"/>
      <c r="AN20" s="45"/>
      <c r="AO20" s="33"/>
      <c r="AP20" s="44"/>
      <c r="AQ20" s="45"/>
      <c r="AR20" s="45"/>
      <c r="AS20" s="33"/>
      <c r="AT20" s="79"/>
      <c r="AU20" s="80"/>
      <c r="AV20" s="80"/>
      <c r="AW20" s="86"/>
      <c r="AX20" s="91"/>
      <c r="AY20" s="80"/>
      <c r="AZ20" s="80"/>
      <c r="BA20" s="92"/>
      <c r="BB20" s="88"/>
      <c r="BC20" s="80"/>
      <c r="BD20" s="80"/>
      <c r="BE20" s="81"/>
      <c r="BF20" s="84"/>
      <c r="BG20" s="80"/>
      <c r="BH20" s="80"/>
      <c r="BI20" s="80"/>
      <c r="BJ20" s="86"/>
      <c r="BK20" s="91"/>
      <c r="BL20" s="80"/>
      <c r="BM20" s="80"/>
      <c r="BN20" s="92"/>
      <c r="BO20" s="88"/>
      <c r="BP20" s="80"/>
      <c r="BQ20" s="80"/>
      <c r="BR20" s="86"/>
      <c r="BS20" s="91"/>
      <c r="BT20" s="80"/>
      <c r="BU20" s="80"/>
      <c r="BV20" s="80"/>
      <c r="BW20" s="81"/>
      <c r="BX20" s="84"/>
      <c r="BY20" s="80"/>
      <c r="BZ20" s="80"/>
      <c r="CA20" s="80"/>
      <c r="CB20" s="80"/>
      <c r="CC20" s="84"/>
      <c r="CD20" s="80"/>
      <c r="CE20" s="80"/>
      <c r="CF20" s="80"/>
      <c r="CG20" s="84"/>
      <c r="CH20" s="80"/>
      <c r="CI20" s="80"/>
      <c r="CJ20" s="80"/>
      <c r="CK20" s="80"/>
      <c r="CL20" s="84"/>
      <c r="CM20" s="80"/>
      <c r="CN20" s="80"/>
      <c r="CO20" s="80"/>
      <c r="CP20" s="84"/>
      <c r="CQ20" s="80"/>
      <c r="CR20" s="80"/>
      <c r="CS20" s="80"/>
      <c r="CT20" s="84"/>
      <c r="CU20" s="88"/>
      <c r="CV20" s="80"/>
      <c r="CW20" s="80"/>
      <c r="CX20" s="80"/>
      <c r="CY20" s="84"/>
      <c r="CZ20" s="80"/>
      <c r="DA20" s="80"/>
      <c r="DB20" s="70"/>
      <c r="DC20" s="84"/>
      <c r="DD20" s="80"/>
      <c r="DE20" s="80"/>
      <c r="DF20" s="70"/>
      <c r="DG20" s="84"/>
      <c r="DH20" s="80"/>
      <c r="DI20" s="80"/>
      <c r="DJ20" s="80"/>
      <c r="DK20" s="70"/>
      <c r="DL20" s="84"/>
      <c r="DM20" s="80"/>
      <c r="DN20" s="80"/>
      <c r="DO20" s="70"/>
      <c r="DP20" s="84"/>
      <c r="DQ20" s="80"/>
      <c r="DR20" s="80"/>
      <c r="DS20" s="105"/>
      <c r="DT20" s="84"/>
      <c r="DU20" s="80"/>
      <c r="DV20" s="80"/>
      <c r="DW20" s="80"/>
      <c r="DX20" s="105"/>
      <c r="DY20" s="84"/>
      <c r="DZ20" s="80"/>
      <c r="EA20" s="80"/>
      <c r="EB20" s="80"/>
    </row>
    <row r="21" spans="2:132" ht="18" customHeight="1" x14ac:dyDescent="0.35">
      <c r="B21" s="214"/>
      <c r="C21" s="254"/>
      <c r="D21" s="181"/>
      <c r="E21" s="220"/>
      <c r="F21" s="220"/>
      <c r="G21" s="184"/>
      <c r="H21" s="183"/>
      <c r="I21" s="183"/>
      <c r="J21" s="183"/>
      <c r="K21" s="34"/>
      <c r="L21" s="183"/>
      <c r="M21" s="183"/>
      <c r="N21" s="183"/>
      <c r="O21" s="183"/>
      <c r="P21" s="31"/>
      <c r="Q21" s="32"/>
      <c r="R21" s="32"/>
      <c r="S21" s="35"/>
      <c r="T21" s="31"/>
      <c r="U21" s="32"/>
      <c r="V21" s="32"/>
      <c r="W21" s="35"/>
      <c r="X21" s="31"/>
      <c r="Y21" s="32"/>
      <c r="Z21" s="32"/>
      <c r="AA21" s="42"/>
      <c r="AB21" s="35"/>
      <c r="AC21" s="31"/>
      <c r="AD21" s="32"/>
      <c r="AE21" s="32"/>
      <c r="AF21" s="35"/>
      <c r="AG21" s="31"/>
      <c r="AH21" s="32"/>
      <c r="AI21" s="32"/>
      <c r="AJ21" s="35"/>
      <c r="AK21" s="31"/>
      <c r="AL21" s="32"/>
      <c r="AM21" s="32"/>
      <c r="AN21" s="32"/>
      <c r="AO21" s="35"/>
      <c r="AP21" s="31"/>
      <c r="AQ21" s="32"/>
      <c r="AR21" s="32"/>
      <c r="AS21" s="35"/>
      <c r="AT21" s="76"/>
      <c r="AU21" s="77"/>
      <c r="AV21" s="77"/>
      <c r="AW21" s="85"/>
      <c r="AX21" s="89"/>
      <c r="AY21" s="77"/>
      <c r="AZ21" s="77"/>
      <c r="BA21" s="90"/>
      <c r="BB21" s="87"/>
      <c r="BC21" s="77"/>
      <c r="BD21" s="77"/>
      <c r="BE21" s="78"/>
      <c r="BF21" s="83"/>
      <c r="BG21" s="77"/>
      <c r="BH21" s="77"/>
      <c r="BI21" s="77"/>
      <c r="BJ21" s="85"/>
      <c r="BK21" s="89"/>
      <c r="BL21" s="77"/>
      <c r="BM21" s="77"/>
      <c r="BN21" s="90"/>
      <c r="BO21" s="87"/>
      <c r="BP21" s="77"/>
      <c r="BQ21" s="77"/>
      <c r="BR21" s="85"/>
      <c r="BS21" s="89"/>
      <c r="BT21" s="77"/>
      <c r="BU21" s="77"/>
      <c r="BV21" s="77"/>
      <c r="BW21" s="78"/>
      <c r="BX21" s="83"/>
      <c r="BY21" s="77"/>
      <c r="BZ21" s="77"/>
      <c r="CA21" s="77"/>
      <c r="CB21" s="77"/>
      <c r="CC21" s="83"/>
      <c r="CD21" s="77"/>
      <c r="CE21" s="77"/>
      <c r="CF21" s="77"/>
      <c r="CG21" s="83"/>
      <c r="CH21" s="77"/>
      <c r="CI21" s="77"/>
      <c r="CJ21" s="77"/>
      <c r="CK21" s="77"/>
      <c r="CL21" s="83"/>
      <c r="CM21" s="77"/>
      <c r="CN21" s="77"/>
      <c r="CO21" s="77"/>
      <c r="CP21" s="83"/>
      <c r="CQ21" s="77"/>
      <c r="CR21" s="77"/>
      <c r="CS21" s="77"/>
      <c r="CT21" s="83"/>
      <c r="CU21" s="87"/>
      <c r="CV21" s="77"/>
      <c r="CW21" s="77"/>
      <c r="CX21" s="77"/>
      <c r="CY21" s="83"/>
      <c r="CZ21" s="77"/>
      <c r="DA21" s="77"/>
      <c r="DB21" s="70"/>
      <c r="DC21" s="83"/>
      <c r="DD21" s="77"/>
      <c r="DE21" s="77"/>
      <c r="DF21" s="70"/>
      <c r="DG21" s="83"/>
      <c r="DH21" s="77"/>
      <c r="DI21" s="77"/>
      <c r="DJ21" s="77"/>
      <c r="DK21" s="70"/>
      <c r="DL21" s="83"/>
      <c r="DM21" s="77"/>
      <c r="DN21" s="77"/>
      <c r="DO21" s="70"/>
      <c r="DP21" s="83"/>
      <c r="DQ21" s="77"/>
      <c r="DR21" s="77"/>
      <c r="DS21" s="105"/>
      <c r="DT21" s="83"/>
      <c r="DU21" s="77"/>
      <c r="DV21" s="77"/>
      <c r="DW21" s="77"/>
      <c r="DX21" s="105"/>
      <c r="DY21" s="83"/>
      <c r="DZ21" s="77"/>
      <c r="EA21" s="77"/>
      <c r="EB21" s="77"/>
    </row>
    <row r="22" spans="2:132" s="3" customFormat="1" ht="70.5" customHeight="1" thickBot="1" x14ac:dyDescent="0.4">
      <c r="B22" s="214"/>
      <c r="C22" s="269"/>
      <c r="D22" s="196"/>
      <c r="E22" s="221"/>
      <c r="F22" s="221"/>
      <c r="G22" s="195"/>
      <c r="H22" s="186"/>
      <c r="I22" s="186"/>
      <c r="J22" s="186"/>
      <c r="K22" s="187"/>
      <c r="L22" s="186"/>
      <c r="M22" s="186"/>
      <c r="N22" s="186"/>
      <c r="O22" s="186"/>
      <c r="P22" s="188"/>
      <c r="Q22" s="189"/>
      <c r="R22" s="189"/>
      <c r="S22" s="190"/>
      <c r="T22" s="188"/>
      <c r="U22" s="189"/>
      <c r="V22" s="189"/>
      <c r="W22" s="190"/>
      <c r="X22" s="188"/>
      <c r="Y22" s="189"/>
      <c r="Z22" s="189"/>
      <c r="AA22" s="191"/>
      <c r="AB22" s="190"/>
      <c r="AC22" s="188"/>
      <c r="AD22" s="189"/>
      <c r="AE22" s="189"/>
      <c r="AF22" s="190"/>
      <c r="AG22" s="188"/>
      <c r="AH22" s="189"/>
      <c r="AI22" s="189"/>
      <c r="AJ22" s="190"/>
      <c r="AK22" s="188"/>
      <c r="AL22" s="189"/>
      <c r="AM22" s="189"/>
      <c r="AN22" s="189"/>
      <c r="AO22" s="190"/>
      <c r="AP22" s="188"/>
      <c r="AQ22" s="189"/>
      <c r="AR22" s="189"/>
      <c r="AS22" s="190"/>
      <c r="AT22" s="192"/>
      <c r="AU22" s="131"/>
      <c r="AV22" s="131"/>
      <c r="AW22" s="133"/>
      <c r="AX22" s="193"/>
      <c r="AY22" s="131"/>
      <c r="AZ22" s="131"/>
      <c r="BA22" s="194"/>
      <c r="BB22" s="134"/>
      <c r="BC22" s="131"/>
      <c r="BD22" s="131"/>
      <c r="BE22" s="142"/>
      <c r="BF22" s="132"/>
      <c r="BG22" s="131"/>
      <c r="BH22" s="131"/>
      <c r="BI22" s="131"/>
      <c r="BJ22" s="133"/>
      <c r="BK22" s="193"/>
      <c r="BL22" s="131"/>
      <c r="BM22" s="131"/>
      <c r="BN22" s="194"/>
      <c r="BO22" s="134"/>
      <c r="BP22" s="131"/>
      <c r="BQ22" s="131"/>
      <c r="BR22" s="133"/>
      <c r="BS22" s="193"/>
      <c r="BT22" s="131"/>
      <c r="BU22" s="131"/>
      <c r="BV22" s="131"/>
      <c r="BW22" s="142"/>
      <c r="BX22" s="132"/>
      <c r="BY22" s="131"/>
      <c r="BZ22" s="131"/>
      <c r="CA22" s="131"/>
      <c r="CB22" s="131"/>
      <c r="CC22" s="132"/>
      <c r="CD22" s="131"/>
      <c r="CE22" s="131"/>
      <c r="CF22" s="131"/>
      <c r="CG22" s="132"/>
      <c r="CH22" s="131"/>
      <c r="CI22" s="131"/>
      <c r="CK22" s="131"/>
      <c r="CL22" s="132"/>
      <c r="CM22" s="131"/>
      <c r="CN22" s="131"/>
      <c r="CO22" s="131"/>
      <c r="CP22" s="132"/>
      <c r="CQ22" s="131"/>
      <c r="CR22" s="131"/>
      <c r="CS22" s="131"/>
      <c r="CT22" s="132"/>
      <c r="CU22" s="134"/>
      <c r="CV22" s="131"/>
      <c r="CW22" s="131"/>
      <c r="CX22" s="131"/>
      <c r="CY22" s="132"/>
      <c r="DA22" s="131"/>
      <c r="DB22" s="99"/>
      <c r="DC22" s="132"/>
      <c r="DD22" s="131"/>
      <c r="DE22" s="131"/>
      <c r="DF22" s="99"/>
      <c r="DG22" s="132"/>
      <c r="DH22" s="131"/>
      <c r="DI22" s="131"/>
      <c r="DJ22" s="131"/>
      <c r="DK22" s="99"/>
      <c r="DL22" s="132"/>
      <c r="DM22" s="131"/>
      <c r="DN22" s="131"/>
      <c r="DO22" s="99"/>
      <c r="DP22" s="132"/>
      <c r="DQ22" s="131"/>
      <c r="DR22" s="131"/>
      <c r="DS22" s="109"/>
      <c r="DT22" s="132"/>
      <c r="DU22" s="131"/>
      <c r="DV22" s="131"/>
      <c r="DW22" s="131"/>
      <c r="DX22" s="109"/>
      <c r="DY22" s="132"/>
      <c r="DZ22" s="131"/>
      <c r="EA22" s="131"/>
      <c r="EB22" s="131"/>
    </row>
    <row r="23" spans="2:132" s="2" customFormat="1" ht="18" customHeight="1" x14ac:dyDescent="0.35">
      <c r="B23" s="214"/>
      <c r="C23" s="268" t="s">
        <v>54</v>
      </c>
      <c r="D23" s="185"/>
      <c r="E23" s="264" t="s">
        <v>55</v>
      </c>
      <c r="F23" s="216"/>
      <c r="G23" s="101"/>
      <c r="H23" s="43"/>
      <c r="I23" s="14"/>
      <c r="J23" s="14"/>
      <c r="K23" s="30"/>
      <c r="L23" s="14"/>
      <c r="M23" s="14"/>
      <c r="N23" s="14"/>
      <c r="O23" s="14"/>
      <c r="P23" s="44"/>
      <c r="Q23" s="45"/>
      <c r="R23" s="45"/>
      <c r="S23" s="33"/>
      <c r="T23" s="44"/>
      <c r="U23" s="45"/>
      <c r="V23" s="45"/>
      <c r="W23" s="33"/>
      <c r="X23" s="44"/>
      <c r="Y23" s="45"/>
      <c r="Z23" s="45"/>
      <c r="AA23" s="46"/>
      <c r="AB23" s="33"/>
      <c r="AC23" s="44"/>
      <c r="AD23" s="45"/>
      <c r="AE23" s="45"/>
      <c r="AF23" s="33"/>
      <c r="AG23" s="44"/>
      <c r="AH23" s="45"/>
      <c r="AI23" s="45"/>
      <c r="AJ23" s="33"/>
      <c r="AK23" s="44"/>
      <c r="AL23" s="45"/>
      <c r="AM23" s="45"/>
      <c r="AN23" s="45"/>
      <c r="AO23" s="33"/>
      <c r="AP23" s="44"/>
      <c r="AQ23" s="45"/>
      <c r="AR23" s="45"/>
      <c r="AS23" s="33"/>
      <c r="AT23" s="79"/>
      <c r="AU23" s="80"/>
      <c r="AV23" s="80"/>
      <c r="AW23" s="86"/>
      <c r="AX23" s="91"/>
      <c r="AY23" s="80"/>
      <c r="AZ23" s="80"/>
      <c r="BA23" s="92"/>
      <c r="BB23" s="88"/>
      <c r="BC23" s="80"/>
      <c r="BD23" s="80"/>
      <c r="BE23" s="81"/>
      <c r="BF23" s="84"/>
      <c r="BG23" s="80"/>
      <c r="BH23" s="80"/>
      <c r="BI23" s="80"/>
      <c r="BJ23" s="86"/>
      <c r="BK23" s="91"/>
      <c r="BL23" s="80"/>
      <c r="BM23" s="80"/>
      <c r="BN23" s="92"/>
      <c r="BO23" s="88"/>
      <c r="BP23" s="80"/>
      <c r="BQ23" s="80"/>
      <c r="BR23" s="86"/>
      <c r="BS23" s="91"/>
      <c r="BT23" s="80"/>
      <c r="BU23" s="80"/>
      <c r="BV23" s="80"/>
      <c r="BW23" s="81"/>
      <c r="BX23" s="84"/>
      <c r="BY23" s="80"/>
      <c r="BZ23" s="80"/>
      <c r="CA23" s="80"/>
      <c r="CB23" s="80"/>
      <c r="CC23" s="84"/>
      <c r="CD23" s="80"/>
      <c r="CE23" s="80"/>
      <c r="CF23" s="80"/>
      <c r="CG23" s="84"/>
      <c r="CH23" s="80"/>
      <c r="CI23" s="80"/>
      <c r="CJ23" s="80"/>
      <c r="CK23" s="80"/>
      <c r="CL23" s="84"/>
      <c r="CM23" s="80"/>
      <c r="CN23" s="80"/>
      <c r="CO23" s="80"/>
      <c r="CP23" s="84"/>
      <c r="CQ23" s="80"/>
      <c r="CR23" s="80"/>
      <c r="CS23" s="80"/>
      <c r="CT23" s="84"/>
      <c r="CU23" s="88"/>
      <c r="CV23" s="80"/>
      <c r="CW23" s="80"/>
      <c r="CX23" s="80"/>
      <c r="CY23" s="84"/>
      <c r="CZ23" s="80"/>
      <c r="DA23" s="80"/>
      <c r="DB23" s="68"/>
      <c r="DC23" s="84"/>
      <c r="DD23" s="80"/>
      <c r="DE23" s="80"/>
      <c r="DF23" s="68"/>
      <c r="DG23" s="84"/>
      <c r="DH23" s="80"/>
      <c r="DI23" s="80"/>
      <c r="DJ23" s="80"/>
      <c r="DK23" s="68"/>
      <c r="DL23" s="84"/>
      <c r="DM23" s="80"/>
      <c r="DN23" s="80"/>
      <c r="DO23" s="68"/>
      <c r="DP23" s="84"/>
      <c r="DQ23" s="80"/>
      <c r="DR23" s="80"/>
      <c r="DS23" s="108"/>
      <c r="DT23" s="84"/>
      <c r="DU23" s="80"/>
      <c r="DV23" s="80"/>
      <c r="DW23" s="80"/>
      <c r="DX23" s="108"/>
      <c r="DY23" s="84"/>
      <c r="DZ23" s="80"/>
      <c r="EA23" s="80"/>
      <c r="EB23" s="80"/>
    </row>
    <row r="24" spans="2:132" ht="18" customHeight="1" x14ac:dyDescent="0.35">
      <c r="B24" s="214"/>
      <c r="C24" s="254"/>
      <c r="D24" s="257"/>
      <c r="E24" s="248"/>
      <c r="F24" s="217"/>
      <c r="G24" s="271"/>
      <c r="H24" s="183"/>
      <c r="I24" s="183"/>
      <c r="J24" s="183"/>
      <c r="K24" s="34"/>
      <c r="L24" s="183"/>
      <c r="M24" s="183"/>
      <c r="N24" s="183"/>
      <c r="O24" s="183"/>
      <c r="P24" s="31"/>
      <c r="Q24" s="32"/>
      <c r="R24" s="32"/>
      <c r="S24" s="35"/>
      <c r="T24" s="31"/>
      <c r="U24" s="32"/>
      <c r="V24" s="32"/>
      <c r="W24" s="35"/>
      <c r="X24" s="31"/>
      <c r="Y24" s="32"/>
      <c r="Z24" s="32"/>
      <c r="AA24" s="42"/>
      <c r="AB24" s="35"/>
      <c r="AC24" s="31"/>
      <c r="AD24" s="32"/>
      <c r="AE24" s="32"/>
      <c r="AF24" s="35"/>
      <c r="AG24" s="31"/>
      <c r="AH24" s="32"/>
      <c r="AI24" s="32"/>
      <c r="AJ24" s="35"/>
      <c r="AK24" s="31"/>
      <c r="AL24" s="32"/>
      <c r="AM24" s="32"/>
      <c r="AN24" s="32"/>
      <c r="AO24" s="35"/>
      <c r="AP24" s="31"/>
      <c r="AQ24" s="32"/>
      <c r="AR24" s="32"/>
      <c r="AS24" s="35"/>
      <c r="AT24" s="76"/>
      <c r="AU24" s="77"/>
      <c r="AV24" s="77"/>
      <c r="AW24" s="85"/>
      <c r="AX24" s="89"/>
      <c r="AY24" s="77"/>
      <c r="AZ24" s="77"/>
      <c r="BA24" s="90"/>
      <c r="BB24" s="87"/>
      <c r="BC24" s="77"/>
      <c r="BD24" s="77"/>
      <c r="BE24" s="78"/>
      <c r="BF24" s="83"/>
      <c r="BG24" s="77"/>
      <c r="BH24" s="77"/>
      <c r="BI24" s="77"/>
      <c r="BJ24" s="85"/>
      <c r="BK24" s="89"/>
      <c r="BL24" s="77"/>
      <c r="BM24" s="77"/>
      <c r="BN24" s="90"/>
      <c r="BO24" s="87"/>
      <c r="BP24" s="77"/>
      <c r="BQ24" s="77"/>
      <c r="BR24" s="85"/>
      <c r="BS24" s="89"/>
      <c r="BT24" s="77"/>
      <c r="BU24" s="77"/>
      <c r="BV24" s="77"/>
      <c r="BW24" s="78"/>
      <c r="BX24" s="83"/>
      <c r="BY24" s="77"/>
      <c r="BZ24" s="77"/>
      <c r="CA24" s="77"/>
      <c r="CB24" s="77"/>
      <c r="CC24" s="83"/>
      <c r="CD24" s="77"/>
      <c r="CE24" s="77"/>
      <c r="CF24" s="77"/>
      <c r="CG24" s="83"/>
      <c r="CH24" s="77"/>
      <c r="CI24" s="77"/>
      <c r="CJ24" s="77"/>
      <c r="CK24" s="77"/>
      <c r="CL24" s="83"/>
      <c r="CM24" s="77"/>
      <c r="CN24" s="77"/>
      <c r="CO24" s="77"/>
      <c r="CP24" s="83"/>
      <c r="CQ24" s="77"/>
      <c r="CR24" s="77"/>
      <c r="CS24" s="77"/>
      <c r="CT24" s="83"/>
      <c r="CU24" s="87"/>
      <c r="CV24" s="77"/>
      <c r="CW24" s="77"/>
      <c r="CX24" s="77"/>
      <c r="CY24" s="83"/>
      <c r="CZ24" s="77"/>
      <c r="DA24" s="77"/>
      <c r="DB24" s="70"/>
      <c r="DC24" s="83"/>
      <c r="DD24" s="77"/>
      <c r="DF24" s="77"/>
      <c r="DG24" s="83"/>
      <c r="DH24" s="77"/>
      <c r="DI24" s="77"/>
      <c r="DJ24" s="77"/>
      <c r="DK24" s="70"/>
      <c r="DL24" s="83"/>
      <c r="DM24" s="77"/>
      <c r="DN24" s="77"/>
      <c r="DO24" s="70"/>
      <c r="DP24" s="83"/>
      <c r="DQ24" s="77"/>
      <c r="DR24" s="77"/>
      <c r="DS24" s="105"/>
      <c r="DT24" s="83"/>
      <c r="DU24" s="77"/>
      <c r="DV24" s="77"/>
      <c r="DW24" s="77"/>
      <c r="DX24" s="105"/>
      <c r="DY24" s="83"/>
      <c r="DZ24" s="77"/>
      <c r="EA24" s="77"/>
      <c r="EB24" s="77"/>
    </row>
    <row r="25" spans="2:132" ht="18" customHeight="1" x14ac:dyDescent="0.35">
      <c r="B25" s="214"/>
      <c r="C25" s="254"/>
      <c r="D25" s="257"/>
      <c r="E25" s="248"/>
      <c r="F25" s="217"/>
      <c r="G25" s="272"/>
      <c r="H25" s="183"/>
      <c r="I25" s="183"/>
      <c r="J25" s="183"/>
      <c r="K25" s="34"/>
      <c r="L25" s="183"/>
      <c r="M25" s="183"/>
      <c r="N25" s="183"/>
      <c r="O25" s="183"/>
      <c r="P25" s="31"/>
      <c r="Q25" s="32"/>
      <c r="R25" s="32"/>
      <c r="S25" s="35"/>
      <c r="T25" s="31"/>
      <c r="U25" s="32"/>
      <c r="V25" s="32"/>
      <c r="W25" s="35"/>
      <c r="X25" s="31"/>
      <c r="Y25" s="32"/>
      <c r="Z25" s="32"/>
      <c r="AA25" s="42"/>
      <c r="AB25" s="35"/>
      <c r="AC25" s="31"/>
      <c r="AD25" s="32"/>
      <c r="AE25" s="32"/>
      <c r="AF25" s="35"/>
      <c r="AG25" s="31"/>
      <c r="AH25" s="32"/>
      <c r="AI25" s="32"/>
      <c r="AJ25" s="35"/>
      <c r="AK25" s="31"/>
      <c r="AL25" s="32"/>
      <c r="AM25" s="32"/>
      <c r="AN25" s="32"/>
      <c r="AO25" s="35"/>
      <c r="AP25" s="31"/>
      <c r="AQ25" s="32"/>
      <c r="AR25" s="32"/>
      <c r="AS25" s="35"/>
      <c r="AT25" s="76"/>
      <c r="AU25" s="77"/>
      <c r="AV25" s="77"/>
      <c r="AW25" s="85"/>
      <c r="AX25" s="89"/>
      <c r="AY25" s="77"/>
      <c r="AZ25" s="77"/>
      <c r="BA25" s="90"/>
      <c r="BB25" s="87"/>
      <c r="BC25" s="77"/>
      <c r="BD25" s="77"/>
      <c r="BE25" s="78"/>
      <c r="BF25" s="83"/>
      <c r="BG25" s="77"/>
      <c r="BH25" s="77"/>
      <c r="BI25" s="77"/>
      <c r="BJ25" s="85"/>
      <c r="BK25" s="89"/>
      <c r="BL25" s="77"/>
      <c r="BM25" s="77"/>
      <c r="BN25" s="90"/>
      <c r="BO25" s="87"/>
      <c r="BP25" s="77"/>
      <c r="BQ25" s="77"/>
      <c r="BR25" s="85"/>
      <c r="BS25" s="89"/>
      <c r="BT25" s="77"/>
      <c r="BU25" s="77"/>
      <c r="BV25" s="77"/>
      <c r="BW25" s="78"/>
      <c r="BX25" s="83"/>
      <c r="BY25" s="77"/>
      <c r="BZ25" s="77"/>
      <c r="CA25" s="77"/>
      <c r="CB25" s="77"/>
      <c r="CC25" s="83"/>
      <c r="CD25" s="77"/>
      <c r="CE25" s="77"/>
      <c r="CF25" s="77"/>
      <c r="CG25" s="83"/>
      <c r="CH25" s="77"/>
      <c r="CI25" s="77"/>
      <c r="CJ25" s="77"/>
      <c r="CK25" s="77"/>
      <c r="CL25" s="83"/>
      <c r="CM25" s="77"/>
      <c r="CN25" s="77"/>
      <c r="CO25" s="77"/>
      <c r="CP25" s="83"/>
      <c r="CQ25" s="77"/>
      <c r="CR25" s="77"/>
      <c r="CS25" s="77"/>
      <c r="CT25" s="83"/>
      <c r="CU25" s="87"/>
      <c r="CV25" s="77"/>
      <c r="CW25" s="77"/>
      <c r="CX25" s="77"/>
      <c r="CY25" s="83"/>
      <c r="CZ25" s="77"/>
      <c r="DA25" s="77"/>
      <c r="DB25" s="70"/>
      <c r="DC25" s="83"/>
      <c r="DD25" s="77"/>
      <c r="DE25" s="77"/>
      <c r="DF25" s="70"/>
      <c r="DG25" s="83"/>
      <c r="DH25" s="77"/>
      <c r="DI25" s="77"/>
      <c r="DJ25" s="77"/>
      <c r="DK25" s="70"/>
      <c r="DL25" s="83"/>
      <c r="DM25" s="77"/>
      <c r="DN25" s="77"/>
      <c r="DO25" s="70"/>
      <c r="DP25" s="83"/>
      <c r="DQ25" s="77"/>
      <c r="DR25" s="77"/>
      <c r="DS25" s="105"/>
      <c r="DT25" s="83"/>
      <c r="DU25" s="77"/>
      <c r="DV25" s="77"/>
      <c r="DW25" s="77"/>
      <c r="DX25" s="105"/>
      <c r="DY25" s="83"/>
      <c r="DZ25" s="77"/>
      <c r="EA25" s="77"/>
      <c r="EB25" s="77"/>
    </row>
    <row r="26" spans="2:132" ht="18" customHeight="1" x14ac:dyDescent="0.35">
      <c r="B26" s="214"/>
      <c r="C26" s="254"/>
      <c r="D26" s="257"/>
      <c r="E26" s="248"/>
      <c r="F26" s="217"/>
      <c r="G26" s="272"/>
      <c r="H26" s="183"/>
      <c r="I26" s="183"/>
      <c r="J26" s="183"/>
      <c r="K26" s="34"/>
      <c r="L26" s="183"/>
      <c r="M26" s="183"/>
      <c r="N26" s="183"/>
      <c r="O26" s="183"/>
      <c r="P26" s="31"/>
      <c r="Q26" s="32"/>
      <c r="R26" s="32"/>
      <c r="S26" s="35"/>
      <c r="T26" s="31"/>
      <c r="U26" s="32"/>
      <c r="V26" s="32"/>
      <c r="W26" s="35"/>
      <c r="X26" s="31"/>
      <c r="Y26" s="32"/>
      <c r="Z26" s="32"/>
      <c r="AA26" s="42"/>
      <c r="AB26" s="35"/>
      <c r="AC26" s="31"/>
      <c r="AD26" s="32"/>
      <c r="AE26" s="32"/>
      <c r="AF26" s="35"/>
      <c r="AG26" s="31"/>
      <c r="AH26" s="32"/>
      <c r="AI26" s="32"/>
      <c r="AJ26" s="35"/>
      <c r="AK26" s="31"/>
      <c r="AL26" s="32"/>
      <c r="AM26" s="32"/>
      <c r="AN26" s="32"/>
      <c r="AO26" s="35"/>
      <c r="AP26" s="31"/>
      <c r="AQ26" s="32"/>
      <c r="AR26" s="32"/>
      <c r="AS26" s="35"/>
      <c r="AT26" s="76"/>
      <c r="AU26" s="77"/>
      <c r="AV26" s="77"/>
      <c r="AW26" s="85"/>
      <c r="AX26" s="89"/>
      <c r="AY26" s="77"/>
      <c r="AZ26" s="77"/>
      <c r="BA26" s="90"/>
      <c r="BB26" s="87"/>
      <c r="BC26" s="77"/>
      <c r="BD26" s="77"/>
      <c r="BE26" s="78"/>
      <c r="BF26" s="83"/>
      <c r="BG26" s="77"/>
      <c r="BH26" s="77"/>
      <c r="BI26" s="77"/>
      <c r="BJ26" s="85"/>
      <c r="BK26" s="89"/>
      <c r="BL26" s="77"/>
      <c r="BM26" s="77"/>
      <c r="BN26" s="90"/>
      <c r="BO26" s="87"/>
      <c r="BP26" s="77"/>
      <c r="BQ26" s="77"/>
      <c r="BR26" s="85"/>
      <c r="BS26" s="89"/>
      <c r="BT26" s="77"/>
      <c r="BU26" s="77"/>
      <c r="BV26" s="77"/>
      <c r="BW26" s="78"/>
      <c r="BX26" s="83"/>
      <c r="BY26" s="77"/>
      <c r="BZ26" s="77"/>
      <c r="CA26" s="77"/>
      <c r="CB26" s="77"/>
      <c r="CC26" s="83"/>
      <c r="CD26" s="77"/>
      <c r="CE26" s="77"/>
      <c r="CF26" s="77"/>
      <c r="CG26" s="83"/>
      <c r="CH26" s="77"/>
      <c r="CI26" s="77"/>
      <c r="CJ26" s="77"/>
      <c r="CK26" s="77"/>
      <c r="CL26" s="83"/>
      <c r="CM26" s="77"/>
      <c r="CN26" s="77"/>
      <c r="CO26" s="77"/>
      <c r="CP26" s="83"/>
      <c r="CQ26" s="77"/>
      <c r="CR26" s="77"/>
      <c r="CS26" s="77"/>
      <c r="CT26" s="83"/>
      <c r="CU26" s="87"/>
      <c r="CV26" s="77"/>
      <c r="CW26" s="77"/>
      <c r="CX26" s="77"/>
      <c r="CY26" s="83"/>
      <c r="CZ26" s="77"/>
      <c r="DA26" s="77"/>
      <c r="DB26" s="70"/>
      <c r="DC26" s="83"/>
      <c r="DD26" s="77"/>
      <c r="DE26" s="77"/>
      <c r="DF26" s="70"/>
      <c r="DG26" s="83"/>
      <c r="DH26" s="77"/>
      <c r="DI26" s="77"/>
      <c r="DJ26" s="77"/>
      <c r="DK26" s="70"/>
      <c r="DL26" s="83"/>
      <c r="DM26" s="77"/>
      <c r="DN26" s="77"/>
      <c r="DO26" s="70"/>
      <c r="DP26" s="83"/>
      <c r="DQ26" s="77"/>
      <c r="DR26" s="77"/>
      <c r="DS26" s="105"/>
      <c r="DT26" s="83"/>
      <c r="DU26" s="77"/>
      <c r="DV26" s="77"/>
      <c r="DW26" s="77"/>
      <c r="DX26" s="105"/>
      <c r="DY26" s="83"/>
      <c r="DZ26" s="77"/>
      <c r="EA26" s="77"/>
      <c r="EB26" s="77"/>
    </row>
    <row r="27" spans="2:132" ht="63.75" customHeight="1" x14ac:dyDescent="0.35">
      <c r="B27" s="214"/>
      <c r="C27" s="254"/>
      <c r="D27" s="257"/>
      <c r="E27" s="248"/>
      <c r="F27" s="217"/>
      <c r="G27" s="272"/>
      <c r="H27" s="183"/>
      <c r="I27" s="183"/>
      <c r="J27" s="183"/>
      <c r="K27" s="34"/>
      <c r="L27" s="183"/>
      <c r="M27" s="183"/>
      <c r="N27" s="183"/>
      <c r="O27" s="183"/>
      <c r="P27" s="31"/>
      <c r="Q27" s="32"/>
      <c r="R27" s="32"/>
      <c r="S27" s="35"/>
      <c r="T27" s="31"/>
      <c r="U27" s="32"/>
      <c r="V27" s="32"/>
      <c r="W27" s="35"/>
      <c r="X27" s="31"/>
      <c r="Y27" s="32"/>
      <c r="Z27" s="32"/>
      <c r="AA27" s="42"/>
      <c r="AB27" s="35"/>
      <c r="AC27" s="31"/>
      <c r="AD27" s="32"/>
      <c r="AE27" s="32"/>
      <c r="AF27" s="35"/>
      <c r="AG27" s="31"/>
      <c r="AH27" s="32"/>
      <c r="AI27" s="32"/>
      <c r="AJ27" s="35"/>
      <c r="AK27" s="31"/>
      <c r="AL27" s="32"/>
      <c r="AM27" s="32"/>
      <c r="AN27" s="32"/>
      <c r="AO27" s="35"/>
      <c r="AP27" s="31"/>
      <c r="AQ27" s="32"/>
      <c r="AR27" s="32"/>
      <c r="AS27" s="35"/>
      <c r="AT27" s="76"/>
      <c r="AU27" s="77"/>
      <c r="AV27" s="77"/>
      <c r="AW27" s="85"/>
      <c r="AX27" s="89"/>
      <c r="AY27" s="77"/>
      <c r="AZ27" s="77"/>
      <c r="BA27" s="90"/>
      <c r="BB27" s="87"/>
      <c r="BC27" s="77"/>
      <c r="BD27" s="77"/>
      <c r="BE27" s="78"/>
      <c r="BF27" s="83"/>
      <c r="BG27" s="77"/>
      <c r="BH27" s="77"/>
      <c r="BI27" s="77"/>
      <c r="BJ27" s="85"/>
      <c r="BK27" s="89"/>
      <c r="BL27" s="77"/>
      <c r="BM27" s="77"/>
      <c r="BN27" s="90"/>
      <c r="BO27" s="87"/>
      <c r="BP27" s="77"/>
      <c r="BQ27" s="77"/>
      <c r="BR27" s="85"/>
      <c r="BS27" s="89"/>
      <c r="BT27" s="77"/>
      <c r="BU27" s="77"/>
      <c r="BV27" s="77"/>
      <c r="BW27" s="78"/>
      <c r="BX27" s="83"/>
      <c r="BY27" s="77"/>
      <c r="BZ27" s="77"/>
      <c r="CA27" s="77"/>
      <c r="CB27" s="77"/>
      <c r="CC27" s="83"/>
      <c r="CD27" s="77"/>
      <c r="CE27" s="77"/>
      <c r="CF27" s="77"/>
      <c r="CG27" s="83"/>
      <c r="CH27" s="77"/>
      <c r="CI27" s="77"/>
      <c r="CK27" s="77"/>
      <c r="CL27" s="83"/>
      <c r="CM27" s="77"/>
      <c r="CN27" s="77"/>
      <c r="CO27" s="77"/>
      <c r="CP27" s="83"/>
      <c r="CQ27" s="77"/>
      <c r="CR27" s="77"/>
      <c r="CS27" s="77"/>
      <c r="CT27" s="83"/>
      <c r="CU27" s="125"/>
      <c r="CV27" s="77"/>
      <c r="CW27" s="77"/>
      <c r="CX27" s="77"/>
      <c r="CY27" s="83"/>
      <c r="CZ27" s="77"/>
      <c r="DA27" s="77"/>
      <c r="DB27" s="70"/>
      <c r="DC27" s="83"/>
      <c r="DD27" s="77"/>
      <c r="DE27" s="77"/>
      <c r="DF27" s="70"/>
      <c r="DG27" s="83"/>
      <c r="DH27" s="77"/>
      <c r="DI27" s="77"/>
      <c r="DJ27" s="77"/>
      <c r="DK27" s="70"/>
      <c r="DL27" s="83"/>
      <c r="DM27" s="77"/>
      <c r="DN27" s="77"/>
      <c r="DO27" s="70"/>
      <c r="DP27" s="83"/>
      <c r="DQ27" s="77"/>
      <c r="DR27" s="77"/>
      <c r="DS27" s="105"/>
      <c r="DT27" s="83"/>
      <c r="DU27" s="77"/>
      <c r="DV27" s="77"/>
      <c r="DW27" s="77"/>
      <c r="DX27" s="105"/>
      <c r="DY27" s="83"/>
      <c r="DZ27" s="77"/>
      <c r="EA27" s="77"/>
      <c r="EB27" s="77"/>
    </row>
    <row r="28" spans="2:132" s="3" customFormat="1" ht="24.75" customHeight="1" thickBot="1" x14ac:dyDescent="0.4">
      <c r="B28" s="214"/>
      <c r="C28" s="269"/>
      <c r="D28" s="263"/>
      <c r="E28" s="265"/>
      <c r="F28" s="218"/>
      <c r="G28" s="273"/>
      <c r="H28" s="186"/>
      <c r="I28" s="186"/>
      <c r="J28" s="186"/>
      <c r="K28" s="187"/>
      <c r="L28" s="186"/>
      <c r="M28" s="186"/>
      <c r="N28" s="186"/>
      <c r="O28" s="186"/>
      <c r="P28" s="188"/>
      <c r="Q28" s="189"/>
      <c r="R28" s="189"/>
      <c r="S28" s="190"/>
      <c r="T28" s="188"/>
      <c r="U28" s="189"/>
      <c r="V28" s="189"/>
      <c r="W28" s="190"/>
      <c r="X28" s="188"/>
      <c r="Y28" s="189"/>
      <c r="Z28" s="189"/>
      <c r="AA28" s="191"/>
      <c r="AB28" s="190"/>
      <c r="AC28" s="188"/>
      <c r="AD28" s="189"/>
      <c r="AE28" s="189"/>
      <c r="AF28" s="190"/>
      <c r="AG28" s="188"/>
      <c r="AH28" s="189"/>
      <c r="AI28" s="189"/>
      <c r="AJ28" s="190"/>
      <c r="AK28" s="188"/>
      <c r="AL28" s="189"/>
      <c r="AM28" s="189"/>
      <c r="AN28" s="189"/>
      <c r="AO28" s="190"/>
      <c r="AP28" s="188"/>
      <c r="AQ28" s="189"/>
      <c r="AR28" s="189"/>
      <c r="AS28" s="190"/>
      <c r="AT28" s="192"/>
      <c r="AU28" s="131"/>
      <c r="AV28" s="131"/>
      <c r="AW28" s="133"/>
      <c r="AX28" s="193"/>
      <c r="AY28" s="131"/>
      <c r="AZ28" s="131"/>
      <c r="BA28" s="194"/>
      <c r="BB28" s="134"/>
      <c r="BC28" s="131"/>
      <c r="BD28" s="131"/>
      <c r="BE28" s="142"/>
      <c r="BF28" s="132"/>
      <c r="BG28" s="131"/>
      <c r="BH28" s="131"/>
      <c r="BI28" s="131"/>
      <c r="BJ28" s="133"/>
      <c r="BK28" s="193"/>
      <c r="BL28" s="131"/>
      <c r="BM28" s="131"/>
      <c r="BN28" s="194"/>
      <c r="BO28" s="134"/>
      <c r="BP28" s="131"/>
      <c r="BQ28" s="131"/>
      <c r="BR28" s="133"/>
      <c r="BS28" s="193"/>
      <c r="BT28" s="131"/>
      <c r="BU28" s="131"/>
      <c r="BV28" s="131"/>
      <c r="BW28" s="142"/>
      <c r="BX28" s="132"/>
      <c r="BY28" s="131"/>
      <c r="BZ28" s="131"/>
      <c r="CA28" s="131"/>
      <c r="CB28" s="131"/>
      <c r="CC28" s="132"/>
      <c r="CD28" s="131"/>
      <c r="CE28" s="131"/>
      <c r="CF28" s="131"/>
      <c r="CG28" s="132"/>
      <c r="CH28" s="131"/>
      <c r="CI28" s="131"/>
      <c r="CJ28" s="131"/>
      <c r="CK28" s="131"/>
      <c r="CL28" s="132"/>
      <c r="CM28" s="131"/>
      <c r="CN28" s="131"/>
      <c r="CO28" s="131"/>
      <c r="CP28" s="132"/>
      <c r="CQ28" s="131"/>
      <c r="CR28" s="131"/>
      <c r="CS28" s="131"/>
      <c r="CT28" s="132"/>
      <c r="CU28" s="134"/>
      <c r="CV28" s="131"/>
      <c r="CW28" s="131"/>
      <c r="CX28" s="131"/>
      <c r="CY28" s="132"/>
      <c r="CZ28" s="131"/>
      <c r="DA28" s="131"/>
      <c r="DB28" s="99"/>
      <c r="DC28" s="132"/>
      <c r="DD28" s="131"/>
      <c r="DE28" s="131"/>
      <c r="DF28" s="99"/>
      <c r="DG28" s="132"/>
      <c r="DH28" s="131"/>
      <c r="DI28" s="131"/>
      <c r="DJ28" s="131"/>
      <c r="DK28" s="99"/>
      <c r="DL28" s="132"/>
      <c r="DM28" s="131"/>
      <c r="DN28" s="131"/>
      <c r="DO28" s="99"/>
      <c r="DP28" s="132"/>
      <c r="DQ28" s="131"/>
      <c r="DR28" s="131"/>
      <c r="DS28" s="109"/>
      <c r="DT28" s="132"/>
      <c r="DU28" s="131"/>
      <c r="DV28" s="131"/>
      <c r="DW28" s="131"/>
      <c r="DX28" s="109"/>
      <c r="DY28" s="132"/>
      <c r="DZ28" s="131"/>
      <c r="EA28" s="131"/>
      <c r="EB28" s="131"/>
    </row>
    <row r="29" spans="2:132" s="2" customFormat="1" ht="18" customHeight="1" x14ac:dyDescent="0.35">
      <c r="B29" s="214"/>
      <c r="C29" s="262" t="s">
        <v>56</v>
      </c>
      <c r="D29" s="8"/>
      <c r="E29" s="233" t="s">
        <v>57</v>
      </c>
      <c r="F29" s="233" t="s">
        <v>58</v>
      </c>
      <c r="G29" s="206"/>
      <c r="H29" s="9"/>
      <c r="K29" s="4"/>
      <c r="P29" s="24"/>
      <c r="Q29" s="25"/>
      <c r="R29" s="25"/>
      <c r="S29" s="26"/>
      <c r="T29" s="24"/>
      <c r="U29" s="25"/>
      <c r="V29" s="25"/>
      <c r="W29" s="26"/>
      <c r="X29" s="24"/>
      <c r="Y29" s="25"/>
      <c r="Z29" s="25"/>
      <c r="AA29" s="40"/>
      <c r="AB29" s="26"/>
      <c r="AC29" s="24"/>
      <c r="AD29" s="25"/>
      <c r="AE29" s="25"/>
      <c r="AF29" s="26"/>
      <c r="AG29" s="24"/>
      <c r="AH29" s="25"/>
      <c r="AI29" s="25"/>
      <c r="AJ29" s="26"/>
      <c r="AK29" s="24"/>
      <c r="AL29" s="25"/>
      <c r="AM29" s="25"/>
      <c r="AN29" s="25"/>
      <c r="AO29" s="26"/>
      <c r="AP29" s="24"/>
      <c r="AQ29" s="25"/>
      <c r="AR29" s="25"/>
      <c r="AS29" s="26"/>
      <c r="AT29" s="47"/>
      <c r="AU29" s="48"/>
      <c r="AV29" s="48"/>
      <c r="AW29" s="54"/>
      <c r="AX29" s="60"/>
      <c r="AY29" s="48"/>
      <c r="AZ29" s="48"/>
      <c r="BA29" s="61"/>
      <c r="BB29" s="57"/>
      <c r="BC29" s="48"/>
      <c r="BD29" s="48"/>
      <c r="BE29" s="68"/>
      <c r="BF29" s="69"/>
      <c r="BG29" s="48"/>
      <c r="BH29" s="48"/>
      <c r="BI29" s="48"/>
      <c r="BJ29" s="54"/>
      <c r="BK29" s="60"/>
      <c r="BL29" s="48"/>
      <c r="BM29" s="48"/>
      <c r="BN29" s="61"/>
      <c r="BO29" s="57"/>
      <c r="BP29" s="48"/>
      <c r="BQ29" s="48"/>
      <c r="BR29" s="54"/>
      <c r="BS29" s="60"/>
      <c r="BT29" s="48"/>
      <c r="BU29" s="48"/>
      <c r="BV29" s="48"/>
      <c r="BW29" s="68"/>
      <c r="BX29" s="69"/>
      <c r="BY29" s="48"/>
      <c r="BZ29" s="48"/>
      <c r="CA29" s="48"/>
      <c r="CB29" s="48"/>
      <c r="CC29" s="69"/>
      <c r="CD29" s="48"/>
      <c r="CE29" s="48"/>
      <c r="CF29" s="48"/>
      <c r="CG29" s="69"/>
      <c r="CH29" s="48"/>
      <c r="CI29" s="48"/>
      <c r="CJ29" s="48"/>
      <c r="CK29" s="48"/>
      <c r="CL29" s="69"/>
      <c r="CM29" s="48"/>
      <c r="CN29" s="48"/>
      <c r="CO29" s="48"/>
      <c r="CP29" s="69"/>
      <c r="CQ29" s="48"/>
      <c r="CR29" s="48"/>
      <c r="CS29" s="48"/>
      <c r="CT29" s="69"/>
      <c r="CU29" s="57"/>
      <c r="CV29" s="48"/>
      <c r="CW29" s="48"/>
      <c r="CX29" s="54"/>
      <c r="CY29" s="69"/>
      <c r="CZ29" s="48"/>
      <c r="DA29" s="48"/>
      <c r="DB29" s="68"/>
      <c r="DC29" s="69"/>
      <c r="DD29" s="48"/>
      <c r="DE29" s="48"/>
      <c r="DF29" s="68"/>
      <c r="DG29" s="69"/>
      <c r="DH29" s="48"/>
      <c r="DI29" s="48"/>
      <c r="DJ29" s="48"/>
      <c r="DK29" s="68"/>
      <c r="DL29" s="69"/>
      <c r="DM29" s="48"/>
      <c r="DN29" s="48"/>
      <c r="DO29" s="68"/>
      <c r="DP29" s="69"/>
      <c r="DQ29" s="48"/>
      <c r="DR29" s="48"/>
      <c r="DS29" s="108"/>
      <c r="DT29" s="69"/>
      <c r="DU29" s="48"/>
      <c r="DV29" s="48"/>
      <c r="DW29" s="48"/>
      <c r="DX29" s="108"/>
      <c r="DY29" s="69"/>
      <c r="DZ29" s="48"/>
      <c r="EA29" s="48"/>
      <c r="EB29" s="48"/>
    </row>
    <row r="30" spans="2:132" ht="18" customHeight="1" x14ac:dyDescent="0.35">
      <c r="B30" s="214"/>
      <c r="C30" s="262"/>
      <c r="D30" s="8"/>
      <c r="E30" s="234"/>
      <c r="F30" s="234"/>
      <c r="G30" s="207"/>
      <c r="H30" s="10"/>
      <c r="K30" s="5"/>
      <c r="P30" s="18"/>
      <c r="Q30" s="19"/>
      <c r="R30" s="19"/>
      <c r="S30" s="20"/>
      <c r="T30" s="18"/>
      <c r="U30" s="19"/>
      <c r="V30" s="19"/>
      <c r="W30" s="20"/>
      <c r="X30" s="18"/>
      <c r="Y30" s="19"/>
      <c r="Z30" s="19"/>
      <c r="AA30" s="38"/>
      <c r="AB30" s="20"/>
      <c r="AC30" s="18"/>
      <c r="AD30" s="19"/>
      <c r="AE30" s="19"/>
      <c r="AF30" s="20"/>
      <c r="AG30" s="18"/>
      <c r="AH30" s="19"/>
      <c r="AI30" s="19"/>
      <c r="AJ30" s="20"/>
      <c r="AK30" s="18"/>
      <c r="AL30" s="19"/>
      <c r="AM30" s="19"/>
      <c r="AN30" s="19"/>
      <c r="AO30" s="20"/>
      <c r="AP30" s="18"/>
      <c r="AQ30" s="19"/>
      <c r="AR30" s="19"/>
      <c r="AS30" s="20"/>
      <c r="AT30" s="49"/>
      <c r="AU30" s="50"/>
      <c r="AV30" s="50"/>
      <c r="AW30" s="55"/>
      <c r="AX30" s="62"/>
      <c r="AY30" s="50"/>
      <c r="AZ30" s="50"/>
      <c r="BA30" s="63"/>
      <c r="BB30" s="58"/>
      <c r="BC30" s="50"/>
      <c r="BD30" s="50"/>
      <c r="BE30" s="70"/>
      <c r="BF30" s="71"/>
      <c r="BG30" s="50"/>
      <c r="BH30" s="50"/>
      <c r="BI30" s="50"/>
      <c r="BJ30" s="55"/>
      <c r="BK30" s="62"/>
      <c r="BL30" s="50"/>
      <c r="BM30" s="50"/>
      <c r="BN30" s="63"/>
      <c r="BO30" s="58"/>
      <c r="BP30" s="50"/>
      <c r="BQ30" s="50"/>
      <c r="BR30" s="55"/>
      <c r="BS30" s="62"/>
      <c r="BT30" s="50"/>
      <c r="BU30" s="50"/>
      <c r="BV30" s="50"/>
      <c r="BW30" s="70"/>
      <c r="BX30" s="71"/>
      <c r="BY30" s="50"/>
      <c r="BZ30" s="50"/>
      <c r="CA30" s="50"/>
      <c r="CB30" s="50"/>
      <c r="CC30" s="71"/>
      <c r="CD30" s="50"/>
      <c r="CE30" s="50"/>
      <c r="CF30" s="50"/>
      <c r="CG30" s="71"/>
      <c r="CH30" s="50"/>
      <c r="CI30" s="50"/>
      <c r="CJ30" s="50"/>
      <c r="CK30" s="50"/>
      <c r="CL30" s="71"/>
      <c r="CM30" s="50"/>
      <c r="CN30" s="50"/>
      <c r="CO30" s="50"/>
      <c r="CP30" s="71"/>
      <c r="CQ30" s="50"/>
      <c r="CR30" s="50"/>
      <c r="CS30" s="50"/>
      <c r="CT30" s="71"/>
      <c r="CU30" s="58"/>
      <c r="CV30" s="50"/>
      <c r="CW30" s="50"/>
      <c r="CX30" s="55"/>
      <c r="CY30" s="71"/>
      <c r="CZ30" s="50"/>
      <c r="DA30" s="50"/>
      <c r="DB30" s="70"/>
      <c r="DC30" s="71"/>
      <c r="DD30" s="50"/>
      <c r="DE30" s="50"/>
      <c r="DF30" s="70"/>
      <c r="DG30" s="71"/>
      <c r="DH30" s="50"/>
      <c r="DI30" s="50"/>
      <c r="DJ30" s="50"/>
      <c r="DK30" s="70"/>
      <c r="DL30" s="71"/>
      <c r="DM30" s="50"/>
      <c r="DN30" s="50"/>
      <c r="DO30" s="70"/>
      <c r="DP30" s="71"/>
      <c r="DQ30" s="50"/>
      <c r="DR30" s="50"/>
      <c r="DS30" s="105"/>
      <c r="DT30" s="71"/>
      <c r="DU30" s="50"/>
      <c r="DV30" s="50"/>
      <c r="DW30" s="50"/>
      <c r="DX30" s="105"/>
      <c r="DY30" s="71"/>
      <c r="DZ30" s="50"/>
      <c r="EA30" s="50"/>
      <c r="EB30" s="50"/>
    </row>
    <row r="31" spans="2:132" ht="21.75" customHeight="1" x14ac:dyDescent="0.35">
      <c r="B31" s="214"/>
      <c r="C31" s="262"/>
      <c r="D31" s="8"/>
      <c r="E31" s="234"/>
      <c r="F31" s="234"/>
      <c r="G31" s="207"/>
      <c r="H31" s="10"/>
      <c r="K31" s="5"/>
      <c r="P31" s="18"/>
      <c r="Q31" s="19"/>
      <c r="R31" s="19"/>
      <c r="S31" s="20"/>
      <c r="T31" s="18"/>
      <c r="U31" s="19"/>
      <c r="V31" s="19"/>
      <c r="W31" s="20"/>
      <c r="X31" s="18"/>
      <c r="Y31" s="19"/>
      <c r="Z31" s="19"/>
      <c r="AA31" s="38"/>
      <c r="AB31" s="20"/>
      <c r="AC31" s="18"/>
      <c r="AD31" s="19"/>
      <c r="AE31" s="19"/>
      <c r="AF31" s="20"/>
      <c r="AG31" s="18"/>
      <c r="AH31" s="19"/>
      <c r="AI31" s="19"/>
      <c r="AJ31" s="20"/>
      <c r="AK31" s="18"/>
      <c r="AL31" s="19"/>
      <c r="AM31" s="19"/>
      <c r="AN31" s="19"/>
      <c r="AO31" s="20"/>
      <c r="AP31" s="18"/>
      <c r="AQ31" s="19"/>
      <c r="AR31" s="19"/>
      <c r="AS31" s="20"/>
      <c r="AT31" s="49"/>
      <c r="AU31" s="50"/>
      <c r="AV31" s="50"/>
      <c r="AW31" s="55"/>
      <c r="AX31" s="62"/>
      <c r="AY31" s="50"/>
      <c r="AZ31" s="50"/>
      <c r="BA31" s="63"/>
      <c r="BB31" s="58"/>
      <c r="BC31" s="50"/>
      <c r="BD31" s="50"/>
      <c r="BE31" s="70"/>
      <c r="BF31" s="71"/>
      <c r="BG31" s="50"/>
      <c r="BH31" s="50"/>
      <c r="BI31" s="50"/>
      <c r="BJ31" s="55"/>
      <c r="BK31" s="62"/>
      <c r="BL31" s="50"/>
      <c r="BM31" s="50"/>
      <c r="BN31" s="63"/>
      <c r="BO31" s="58"/>
      <c r="BP31" s="50"/>
      <c r="BQ31" s="50"/>
      <c r="BR31" s="55"/>
      <c r="BS31" s="62"/>
      <c r="BT31" s="50"/>
      <c r="BU31" s="50"/>
      <c r="BV31" s="50"/>
      <c r="BW31" s="70"/>
      <c r="BX31" s="71"/>
      <c r="BY31" s="50"/>
      <c r="BZ31" s="50"/>
      <c r="CA31" s="50"/>
      <c r="CB31" s="50"/>
      <c r="CC31" s="71"/>
      <c r="CD31" s="50"/>
      <c r="CE31" s="50"/>
      <c r="CF31" s="50"/>
      <c r="CG31" s="71"/>
      <c r="CH31" s="50"/>
      <c r="CI31" s="50"/>
      <c r="CJ31" s="50"/>
      <c r="CK31" s="50"/>
      <c r="CL31" s="71"/>
      <c r="CM31" s="50"/>
      <c r="CN31" s="50"/>
      <c r="CO31" s="50"/>
      <c r="CP31" s="71"/>
      <c r="CQ31" s="50"/>
      <c r="CR31" s="50"/>
      <c r="CS31" s="50"/>
      <c r="CT31" s="71"/>
      <c r="CU31" s="58"/>
      <c r="CV31" s="50"/>
      <c r="CW31" s="50"/>
      <c r="CX31" s="55"/>
      <c r="CY31" s="71"/>
      <c r="CZ31" s="50"/>
      <c r="DA31" s="50"/>
      <c r="DB31" s="70"/>
      <c r="DC31" s="71"/>
      <c r="DD31" s="50"/>
      <c r="DE31" s="50"/>
      <c r="DF31" s="70"/>
      <c r="DG31" s="71"/>
      <c r="DH31" s="50"/>
      <c r="DI31" s="50"/>
      <c r="DJ31" s="50"/>
      <c r="DK31" s="70"/>
      <c r="DL31" s="71"/>
      <c r="DM31" s="50"/>
      <c r="DN31" s="50"/>
      <c r="DO31" s="70"/>
      <c r="DP31" s="71"/>
      <c r="DQ31" s="50"/>
      <c r="DR31" s="50"/>
      <c r="DS31" s="105"/>
      <c r="DT31" s="71"/>
      <c r="DU31" s="50"/>
      <c r="DV31" s="50"/>
      <c r="DW31" s="50"/>
      <c r="DX31" s="105"/>
      <c r="DY31" s="71"/>
      <c r="DZ31" s="50"/>
      <c r="EA31" s="50"/>
      <c r="EB31" s="50"/>
    </row>
    <row r="32" spans="2:132" ht="17.5" customHeight="1" x14ac:dyDescent="0.35">
      <c r="B32" s="214"/>
      <c r="C32" s="262"/>
      <c r="D32" s="8"/>
      <c r="E32" s="234"/>
      <c r="F32" s="234"/>
      <c r="G32" s="207"/>
      <c r="H32" s="10"/>
      <c r="K32" s="5"/>
      <c r="P32" s="18"/>
      <c r="Q32" s="19"/>
      <c r="R32" s="19"/>
      <c r="S32" s="20"/>
      <c r="T32" s="18"/>
      <c r="U32" s="19"/>
      <c r="V32" s="19"/>
      <c r="W32" s="20"/>
      <c r="X32" s="18"/>
      <c r="Y32" s="19"/>
      <c r="Z32" s="19"/>
      <c r="AA32" s="38"/>
      <c r="AB32" s="20"/>
      <c r="AC32" s="18"/>
      <c r="AD32" s="19"/>
      <c r="AE32" s="19"/>
      <c r="AF32" s="20"/>
      <c r="AG32" s="18"/>
      <c r="AH32" s="19"/>
      <c r="AI32" s="19"/>
      <c r="AJ32" s="20"/>
      <c r="AK32" s="18"/>
      <c r="AL32" s="19"/>
      <c r="AM32" s="19"/>
      <c r="AN32" s="19"/>
      <c r="AO32" s="20"/>
      <c r="AP32" s="18"/>
      <c r="AQ32" s="19"/>
      <c r="AS32" s="19"/>
      <c r="AT32" s="49"/>
      <c r="AU32" s="50"/>
      <c r="AV32" s="50"/>
      <c r="AW32" s="55"/>
      <c r="AX32" s="62"/>
      <c r="AY32" s="50"/>
      <c r="AZ32" s="50"/>
      <c r="BA32" s="63"/>
      <c r="BB32" s="58"/>
      <c r="BC32" s="50"/>
      <c r="BD32" s="50"/>
      <c r="BE32" s="70"/>
      <c r="BF32" s="71"/>
      <c r="BG32" s="50"/>
      <c r="BH32" s="50"/>
      <c r="BI32" s="50"/>
      <c r="BJ32" s="55"/>
      <c r="BK32" s="62"/>
      <c r="BL32" s="50"/>
      <c r="BM32" s="50"/>
      <c r="BN32" s="63"/>
      <c r="BO32" s="58"/>
      <c r="BP32" s="50"/>
      <c r="BQ32" s="50"/>
      <c r="BR32" s="55"/>
      <c r="BS32" s="62"/>
      <c r="BT32" s="50"/>
      <c r="BU32" s="50"/>
      <c r="BV32" s="50"/>
      <c r="BW32" s="70"/>
      <c r="BX32" s="71"/>
      <c r="BY32" s="50"/>
      <c r="BZ32" s="50"/>
      <c r="CA32" s="50"/>
      <c r="CB32" s="50"/>
      <c r="CC32" s="71"/>
      <c r="CD32" s="50"/>
      <c r="CE32" s="50"/>
      <c r="CF32" s="50"/>
      <c r="CG32" s="71"/>
      <c r="CH32" s="50"/>
      <c r="CI32" s="50"/>
      <c r="CJ32" s="50"/>
      <c r="CK32" s="50"/>
      <c r="CL32" s="71"/>
      <c r="CM32" s="50"/>
      <c r="CN32" s="50"/>
      <c r="CO32" s="50"/>
      <c r="CP32" s="71"/>
      <c r="CQ32" s="50"/>
      <c r="CR32" s="50"/>
      <c r="CS32" s="50"/>
      <c r="CT32" s="71"/>
      <c r="CU32" s="58"/>
      <c r="CV32" s="50"/>
      <c r="CW32" s="50"/>
      <c r="CX32" s="55"/>
      <c r="CY32" s="71"/>
      <c r="CZ32" s="50"/>
      <c r="DA32" s="50"/>
      <c r="DB32" s="70"/>
      <c r="DC32" s="71"/>
      <c r="DD32" s="50"/>
      <c r="DE32" s="50"/>
      <c r="DF32" s="70"/>
      <c r="DG32" s="71"/>
      <c r="DH32" s="50"/>
      <c r="DI32" s="50"/>
      <c r="DJ32" s="50"/>
      <c r="DK32" s="70"/>
      <c r="DL32" s="71"/>
      <c r="DM32" s="50"/>
      <c r="DN32" s="50"/>
      <c r="DO32" s="70"/>
      <c r="DP32" s="71"/>
      <c r="DQ32" s="50"/>
      <c r="DR32" s="50"/>
      <c r="DS32" s="105"/>
      <c r="DT32" s="71"/>
      <c r="DU32" s="50"/>
      <c r="DV32" s="50"/>
      <c r="DW32" s="50"/>
      <c r="DX32" s="105"/>
      <c r="DY32" s="71"/>
      <c r="DZ32" s="50"/>
      <c r="EA32" s="50"/>
      <c r="EB32" s="50"/>
    </row>
    <row r="33" spans="2:132" s="3" customFormat="1" ht="93.65" customHeight="1" thickBot="1" x14ac:dyDescent="0.4">
      <c r="B33" s="215"/>
      <c r="C33" s="262"/>
      <c r="D33" s="93"/>
      <c r="E33" s="234"/>
      <c r="F33" s="234"/>
      <c r="G33" s="208"/>
      <c r="H33" s="11"/>
      <c r="K33" s="6"/>
      <c r="P33" s="21"/>
      <c r="Q33" s="22"/>
      <c r="R33" s="22"/>
      <c r="S33" s="23"/>
      <c r="T33" s="21"/>
      <c r="U33" s="22"/>
      <c r="V33" s="22"/>
      <c r="W33" s="23"/>
      <c r="X33" s="21"/>
      <c r="Y33" s="22"/>
      <c r="Z33" s="22"/>
      <c r="AA33" s="39"/>
      <c r="AB33" s="23"/>
      <c r="AC33" s="21"/>
      <c r="AD33" s="22"/>
      <c r="AE33" s="22"/>
      <c r="AF33" s="23"/>
      <c r="AG33" s="21"/>
      <c r="AH33" s="22"/>
      <c r="AI33" s="22"/>
      <c r="AJ33" s="23"/>
      <c r="AK33" s="21"/>
      <c r="AL33" s="22"/>
      <c r="AM33" s="22"/>
      <c r="AN33" s="22"/>
      <c r="AO33" s="23"/>
      <c r="AP33" s="21"/>
      <c r="AQ33" s="22"/>
      <c r="AR33" s="22"/>
      <c r="AS33" s="23"/>
      <c r="AT33" s="94"/>
      <c r="AU33" s="82"/>
      <c r="AV33" s="82"/>
      <c r="AW33" s="95"/>
      <c r="AX33" s="96"/>
      <c r="AY33" s="82"/>
      <c r="AZ33" s="82"/>
      <c r="BA33" s="97"/>
      <c r="BB33" s="98"/>
      <c r="BC33" s="82"/>
      <c r="BD33" s="82"/>
      <c r="BE33" s="99"/>
      <c r="BF33" s="100"/>
      <c r="BG33" s="82"/>
      <c r="BH33" s="82"/>
      <c r="BI33" s="82"/>
      <c r="BJ33" s="95"/>
      <c r="BK33" s="96"/>
      <c r="BL33" s="82"/>
      <c r="BM33" s="82"/>
      <c r="BN33" s="97"/>
      <c r="BO33" s="98"/>
      <c r="BP33" s="82"/>
      <c r="BQ33" s="82"/>
      <c r="BR33" s="95"/>
      <c r="BS33" s="96"/>
      <c r="BT33" s="82"/>
      <c r="BU33" s="82"/>
      <c r="BV33" s="82"/>
      <c r="BW33" s="99"/>
      <c r="BX33" s="100"/>
      <c r="BY33" s="82"/>
      <c r="BZ33" s="82"/>
      <c r="CA33" s="82"/>
      <c r="CB33" s="82"/>
      <c r="CC33" s="100"/>
      <c r="CD33" s="82"/>
      <c r="CE33" s="82"/>
      <c r="CF33" s="82"/>
      <c r="CG33" s="100"/>
      <c r="CH33" s="82"/>
      <c r="CI33" s="82"/>
      <c r="CJ33" s="82"/>
      <c r="CK33" s="82"/>
      <c r="CL33" s="100"/>
      <c r="CM33" s="82"/>
      <c r="CN33" s="82"/>
      <c r="CO33" s="82"/>
      <c r="CP33" s="100"/>
      <c r="CQ33" s="82"/>
      <c r="CR33" s="82"/>
      <c r="CS33" s="82"/>
      <c r="CT33" s="100"/>
      <c r="CU33" s="98"/>
      <c r="CV33" s="82"/>
      <c r="CW33" s="82"/>
      <c r="CX33" s="95"/>
      <c r="CY33" s="100"/>
      <c r="CZ33" s="82"/>
      <c r="DA33" s="82"/>
      <c r="DB33" s="99"/>
      <c r="DC33" s="100"/>
      <c r="DD33" s="82"/>
      <c r="DE33" s="82"/>
      <c r="DF33" s="99"/>
      <c r="DG33" s="100"/>
      <c r="DH33" s="82"/>
      <c r="DI33" s="82"/>
      <c r="DJ33" s="82"/>
      <c r="DK33" s="99"/>
      <c r="DL33" s="100"/>
      <c r="DM33" s="82"/>
      <c r="DN33" s="82"/>
      <c r="DO33" s="99"/>
      <c r="DP33" s="100"/>
      <c r="DQ33" s="82"/>
      <c r="DR33" s="82"/>
      <c r="DS33" s="109"/>
      <c r="DT33" s="100"/>
      <c r="DU33" s="82"/>
      <c r="DV33" s="82"/>
      <c r="DW33" s="82"/>
      <c r="DX33" s="109"/>
      <c r="DY33" s="100"/>
      <c r="DZ33" s="82"/>
      <c r="EA33" s="82"/>
      <c r="EB33" s="82"/>
    </row>
    <row r="34" spans="2:132" s="2" customFormat="1" ht="18" customHeight="1" x14ac:dyDescent="0.35">
      <c r="B34" s="251" t="s">
        <v>59</v>
      </c>
      <c r="C34" s="253" t="s">
        <v>60</v>
      </c>
      <c r="D34" s="256"/>
      <c r="E34" s="197"/>
      <c r="F34" s="197"/>
      <c r="G34" s="101"/>
      <c r="H34" s="43"/>
      <c r="I34" s="14"/>
      <c r="J34" s="14"/>
      <c r="K34" s="30"/>
      <c r="L34" s="14"/>
      <c r="M34" s="14"/>
      <c r="N34" s="14"/>
      <c r="O34" s="14"/>
      <c r="P34" s="44"/>
      <c r="Q34" s="45"/>
      <c r="R34" s="45"/>
      <c r="S34" s="33"/>
      <c r="T34" s="44"/>
      <c r="U34" s="45"/>
      <c r="V34" s="45"/>
      <c r="W34" s="33"/>
      <c r="X34" s="44"/>
      <c r="Y34" s="45"/>
      <c r="Z34" s="45"/>
      <c r="AA34" s="46"/>
      <c r="AB34" s="33"/>
      <c r="AC34" s="44"/>
      <c r="AD34" s="45"/>
      <c r="AE34" s="45"/>
      <c r="AF34" s="33"/>
      <c r="AG34" s="44"/>
      <c r="AH34" s="45"/>
      <c r="AI34" s="45"/>
      <c r="AJ34" s="33"/>
      <c r="AK34" s="44"/>
      <c r="AL34" s="45"/>
      <c r="AM34" s="45"/>
      <c r="AN34" s="45"/>
      <c r="AO34" s="33"/>
      <c r="AP34" s="44"/>
      <c r="AQ34" s="45"/>
      <c r="AR34" s="45"/>
      <c r="AS34" s="33"/>
      <c r="AT34" s="79"/>
      <c r="AU34" s="80"/>
      <c r="AV34" s="80"/>
      <c r="AW34" s="86"/>
      <c r="AX34" s="91"/>
      <c r="AY34" s="80"/>
      <c r="AZ34" s="80"/>
      <c r="BA34" s="92"/>
      <c r="BB34" s="88"/>
      <c r="BC34" s="80"/>
      <c r="BD34" s="80"/>
      <c r="BE34" s="81"/>
      <c r="BF34" s="84"/>
      <c r="BG34" s="80"/>
      <c r="BH34" s="80"/>
      <c r="BI34" s="80"/>
      <c r="BJ34" s="86"/>
      <c r="BK34" s="91"/>
      <c r="BL34" s="80"/>
      <c r="BM34" s="80"/>
      <c r="BN34" s="92"/>
      <c r="BO34" s="88"/>
      <c r="BP34" s="80"/>
      <c r="BQ34" s="80"/>
      <c r="BR34" s="86"/>
      <c r="BS34" s="91"/>
      <c r="BT34" s="80"/>
      <c r="BU34" s="80"/>
      <c r="BV34" s="80"/>
      <c r="BW34" s="81"/>
      <c r="BX34" s="84"/>
      <c r="BY34" s="80"/>
      <c r="BZ34" s="80"/>
      <c r="CA34" s="80"/>
      <c r="CB34" s="80"/>
      <c r="CC34" s="84"/>
      <c r="CD34" s="80"/>
      <c r="CE34" s="80"/>
      <c r="CF34" s="80"/>
      <c r="CG34" s="84"/>
      <c r="CH34" s="80"/>
      <c r="CI34" s="80"/>
      <c r="CJ34" s="80"/>
      <c r="CK34" s="80"/>
      <c r="CL34" s="84"/>
      <c r="CM34" s="80"/>
      <c r="CN34" s="80"/>
      <c r="CO34" s="80"/>
      <c r="CP34" s="84"/>
      <c r="CQ34" s="80"/>
      <c r="CR34" s="80"/>
      <c r="CS34" s="80"/>
      <c r="CT34" s="84"/>
      <c r="CU34" s="88"/>
      <c r="CV34" s="80"/>
      <c r="CW34" s="80"/>
      <c r="CX34" s="80"/>
      <c r="CY34" s="84"/>
      <c r="CZ34" s="80"/>
      <c r="DA34" s="80"/>
      <c r="DB34" s="70"/>
      <c r="DC34" s="84"/>
      <c r="DD34" s="80"/>
      <c r="DE34" s="80"/>
      <c r="DF34" s="70"/>
      <c r="DG34" s="84"/>
      <c r="DH34" s="80"/>
      <c r="DI34" s="80"/>
      <c r="DJ34" s="80"/>
      <c r="DK34" s="70"/>
      <c r="DL34" s="84"/>
      <c r="DM34" s="80"/>
      <c r="DN34" s="80"/>
      <c r="DO34" s="70"/>
      <c r="DP34" s="84"/>
      <c r="DQ34" s="80"/>
      <c r="DR34" s="80"/>
      <c r="DS34" s="105"/>
      <c r="DT34" s="84"/>
      <c r="DU34" s="80"/>
      <c r="DV34" s="80"/>
      <c r="DW34" s="80"/>
      <c r="DX34" s="105"/>
      <c r="DY34" s="84"/>
      <c r="DZ34" s="80"/>
      <c r="EA34" s="80"/>
      <c r="EB34" s="80"/>
    </row>
    <row r="35" spans="2:132" ht="18" customHeight="1" x14ac:dyDescent="0.35">
      <c r="B35" s="251"/>
      <c r="C35" s="254"/>
      <c r="D35" s="257"/>
      <c r="E35" s="220" t="s">
        <v>61</v>
      </c>
      <c r="F35" s="220" t="s">
        <v>62</v>
      </c>
      <c r="G35" s="271"/>
      <c r="H35" s="183"/>
      <c r="I35" s="183"/>
      <c r="J35" s="183"/>
      <c r="K35" s="34"/>
      <c r="L35" s="183"/>
      <c r="M35" s="183"/>
      <c r="N35" s="183"/>
      <c r="O35" s="183"/>
      <c r="P35" s="31"/>
      <c r="Q35" s="32"/>
      <c r="R35" s="32"/>
      <c r="S35" s="35"/>
      <c r="T35" s="31"/>
      <c r="U35" s="32"/>
      <c r="V35" s="32"/>
      <c r="W35" s="35"/>
      <c r="X35" s="31"/>
      <c r="Y35" s="32"/>
      <c r="Z35" s="32"/>
      <c r="AA35" s="42"/>
      <c r="AB35" s="35"/>
      <c r="AC35" s="31"/>
      <c r="AD35" s="32"/>
      <c r="AE35" s="32"/>
      <c r="AF35" s="35"/>
      <c r="AG35" s="31"/>
      <c r="AH35" s="32"/>
      <c r="AI35" s="32"/>
      <c r="AJ35" s="35"/>
      <c r="AK35" s="31"/>
      <c r="AL35" s="32"/>
      <c r="AM35" s="32"/>
      <c r="AN35" s="32"/>
      <c r="AO35" s="35"/>
      <c r="AP35" s="31"/>
      <c r="AQ35" s="32"/>
      <c r="AR35" s="32"/>
      <c r="AS35" s="35"/>
      <c r="AT35" s="76"/>
      <c r="AU35" s="77"/>
      <c r="AV35" s="77"/>
      <c r="AW35" s="85"/>
      <c r="AX35" s="89"/>
      <c r="AY35" s="77"/>
      <c r="AZ35" s="77"/>
      <c r="BA35" s="90"/>
      <c r="BB35" s="87"/>
      <c r="BC35" s="77"/>
      <c r="BD35" s="77"/>
      <c r="BE35" s="78"/>
      <c r="BF35" s="83"/>
      <c r="BG35" s="77"/>
      <c r="BH35" s="77"/>
      <c r="BI35" s="77"/>
      <c r="BJ35" s="85"/>
      <c r="BK35" s="89"/>
      <c r="BL35" s="77"/>
      <c r="BM35" s="77"/>
      <c r="BN35" s="90"/>
      <c r="BO35" s="87"/>
      <c r="BP35" s="77"/>
      <c r="BQ35" s="77"/>
      <c r="BR35" s="85"/>
      <c r="BS35" s="89"/>
      <c r="BT35" s="77"/>
      <c r="BU35" s="77"/>
      <c r="BV35" s="77"/>
      <c r="BW35" s="78"/>
      <c r="BX35" s="83"/>
      <c r="BY35" s="77"/>
      <c r="BZ35" s="77"/>
      <c r="CA35" s="77"/>
      <c r="CB35" s="77"/>
      <c r="CC35" s="83"/>
      <c r="CD35" s="77"/>
      <c r="CE35" s="77"/>
      <c r="CF35" s="77"/>
      <c r="CG35" s="83"/>
      <c r="CH35" s="77"/>
      <c r="CI35" s="77"/>
      <c r="CJ35" s="77"/>
      <c r="CK35" s="77"/>
      <c r="CL35" s="83"/>
      <c r="CM35" s="77"/>
      <c r="CN35" s="77"/>
      <c r="CO35" s="77"/>
      <c r="CP35" s="83"/>
      <c r="CQ35" s="77"/>
      <c r="CR35" s="77"/>
      <c r="CS35" s="77"/>
      <c r="CT35" s="83"/>
      <c r="CU35" s="87"/>
      <c r="CV35" s="77"/>
      <c r="CW35" s="77"/>
      <c r="CX35" s="77"/>
      <c r="CY35" s="83"/>
      <c r="CZ35" s="77"/>
      <c r="DA35" s="77"/>
      <c r="DB35" s="70"/>
      <c r="DC35" s="83"/>
      <c r="DD35" s="77"/>
      <c r="DE35" s="77"/>
      <c r="DF35" s="70"/>
      <c r="DG35" s="83"/>
      <c r="DH35" s="77"/>
      <c r="DI35" s="77"/>
      <c r="DJ35" s="77"/>
      <c r="DK35" s="70"/>
      <c r="DL35" s="83"/>
      <c r="DM35" s="77"/>
      <c r="DN35" s="77"/>
      <c r="DO35" s="70"/>
      <c r="DP35" s="83"/>
      <c r="DQ35" s="77"/>
      <c r="DR35" s="77"/>
      <c r="DS35" s="105"/>
      <c r="DT35" s="83"/>
      <c r="DU35" s="77"/>
      <c r="DV35" s="77"/>
      <c r="DW35" s="77"/>
      <c r="DX35" s="105"/>
      <c r="DY35" s="83"/>
      <c r="DZ35" s="77"/>
      <c r="EA35" s="77"/>
      <c r="EB35" s="77"/>
    </row>
    <row r="36" spans="2:132" ht="18" customHeight="1" x14ac:dyDescent="0.35">
      <c r="B36" s="251"/>
      <c r="C36" s="254"/>
      <c r="D36" s="257"/>
      <c r="E36" s="220"/>
      <c r="F36" s="220"/>
      <c r="G36" s="271"/>
      <c r="H36" s="183"/>
      <c r="I36" s="183"/>
      <c r="J36" s="183"/>
      <c r="K36" s="34"/>
      <c r="L36" s="183"/>
      <c r="M36" s="183"/>
      <c r="N36" s="183"/>
      <c r="O36" s="183"/>
      <c r="P36" s="31"/>
      <c r="Q36" s="32"/>
      <c r="R36" s="32"/>
      <c r="S36" s="35"/>
      <c r="T36" s="31"/>
      <c r="U36" s="32"/>
      <c r="V36" s="32"/>
      <c r="W36" s="35"/>
      <c r="X36" s="31"/>
      <c r="Y36" s="32"/>
      <c r="Z36" s="32"/>
      <c r="AA36" s="42"/>
      <c r="AB36" s="35"/>
      <c r="AC36" s="31"/>
      <c r="AD36" s="32"/>
      <c r="AE36" s="32"/>
      <c r="AF36" s="35"/>
      <c r="AG36" s="31"/>
      <c r="AH36" s="32"/>
      <c r="AI36" s="32"/>
      <c r="AJ36" s="35"/>
      <c r="AK36" s="31"/>
      <c r="AL36" s="32"/>
      <c r="AM36" s="32"/>
      <c r="AN36" s="32"/>
      <c r="AO36" s="35"/>
      <c r="AP36" s="31"/>
      <c r="AQ36" s="32"/>
      <c r="AR36" s="32"/>
      <c r="AS36" s="35"/>
      <c r="AT36" s="76"/>
      <c r="AU36" s="77"/>
      <c r="AV36" s="77"/>
      <c r="AW36" s="85"/>
      <c r="AX36" s="89"/>
      <c r="AY36" s="77"/>
      <c r="AZ36" s="77"/>
      <c r="BA36" s="90"/>
      <c r="BB36" s="87"/>
      <c r="BC36" s="77"/>
      <c r="BD36" s="77"/>
      <c r="BE36" s="78"/>
      <c r="BF36" s="83"/>
      <c r="BG36" s="77"/>
      <c r="BH36" s="77"/>
      <c r="BI36" s="77"/>
      <c r="BJ36" s="85"/>
      <c r="BK36" s="89"/>
      <c r="BL36" s="77"/>
      <c r="BM36" s="77"/>
      <c r="BN36" s="90"/>
      <c r="BO36" s="87"/>
      <c r="BP36" s="77"/>
      <c r="BQ36" s="77"/>
      <c r="BR36" s="85"/>
      <c r="BS36" s="89"/>
      <c r="BT36" s="77"/>
      <c r="BU36" s="77"/>
      <c r="BV36" s="77"/>
      <c r="BW36" s="78"/>
      <c r="BX36" s="83"/>
      <c r="BY36" s="77"/>
      <c r="BZ36" s="77"/>
      <c r="CA36" s="77"/>
      <c r="CB36" s="77"/>
      <c r="CC36" s="83"/>
      <c r="CD36" s="77"/>
      <c r="CE36" s="77"/>
      <c r="CF36" s="77"/>
      <c r="CG36" s="83"/>
      <c r="CH36" s="77"/>
      <c r="CI36" s="77"/>
      <c r="CJ36" s="77"/>
      <c r="CK36" s="77"/>
      <c r="CL36" s="83"/>
      <c r="CM36" s="77"/>
      <c r="CN36" s="77"/>
      <c r="CO36" s="77"/>
      <c r="CP36" s="83"/>
      <c r="CQ36" s="77"/>
      <c r="CR36" s="77"/>
      <c r="CS36" s="77"/>
      <c r="CT36" s="83"/>
      <c r="CU36" s="87"/>
      <c r="CV36" s="77"/>
      <c r="CW36" s="77"/>
      <c r="CX36" s="77"/>
      <c r="CY36" s="83"/>
      <c r="CZ36" s="77"/>
      <c r="DA36" s="77"/>
      <c r="DB36" s="70"/>
      <c r="DC36" s="83"/>
      <c r="DD36" s="77"/>
      <c r="DE36" s="77"/>
      <c r="DF36" s="70"/>
      <c r="DG36" s="83"/>
      <c r="DH36" s="77"/>
      <c r="DI36" s="77"/>
      <c r="DJ36" s="77"/>
      <c r="DK36" s="70"/>
      <c r="DL36" s="83"/>
      <c r="DM36" s="77"/>
      <c r="DN36" s="77"/>
      <c r="DO36" s="70"/>
      <c r="DP36" s="83"/>
      <c r="DQ36" s="77"/>
      <c r="DR36" s="77"/>
      <c r="DS36" s="105"/>
      <c r="DT36" s="83"/>
      <c r="DU36" s="77"/>
      <c r="DV36" s="77"/>
      <c r="DW36" s="77"/>
      <c r="DX36" s="105"/>
      <c r="DY36" s="83"/>
      <c r="DZ36" s="77"/>
      <c r="EA36" s="77"/>
      <c r="EB36" s="77"/>
    </row>
    <row r="37" spans="2:132" ht="18" customHeight="1" x14ac:dyDescent="0.35">
      <c r="B37" s="251"/>
      <c r="C37" s="254"/>
      <c r="D37" s="257"/>
      <c r="E37" s="220"/>
      <c r="F37" s="220"/>
      <c r="G37" s="271"/>
      <c r="H37" s="183"/>
      <c r="I37" s="183"/>
      <c r="J37" s="183"/>
      <c r="K37" s="34"/>
      <c r="L37" s="183"/>
      <c r="M37" s="183"/>
      <c r="N37" s="183"/>
      <c r="O37" s="183"/>
      <c r="P37" s="31"/>
      <c r="Q37" s="32"/>
      <c r="R37" s="32"/>
      <c r="S37" s="35"/>
      <c r="T37" s="31"/>
      <c r="U37" s="32"/>
      <c r="V37" s="32"/>
      <c r="W37" s="35"/>
      <c r="X37" s="31"/>
      <c r="Y37" s="32"/>
      <c r="Z37" s="32"/>
      <c r="AA37" s="42"/>
      <c r="AB37" s="35"/>
      <c r="AC37" s="31"/>
      <c r="AD37" s="32"/>
      <c r="AE37" s="32"/>
      <c r="AF37" s="35"/>
      <c r="AG37" s="31"/>
      <c r="AH37" s="32"/>
      <c r="AI37" s="32"/>
      <c r="AJ37" s="35"/>
      <c r="AK37" s="31"/>
      <c r="AL37" s="32"/>
      <c r="AM37" s="32"/>
      <c r="AN37" s="32"/>
      <c r="AO37" s="35"/>
      <c r="AP37" s="31"/>
      <c r="AQ37" s="32"/>
      <c r="AR37" s="32"/>
      <c r="AS37" s="35"/>
      <c r="AT37" s="76"/>
      <c r="AU37" s="77"/>
      <c r="AV37" s="77"/>
      <c r="AW37" s="85"/>
      <c r="AX37" s="89"/>
      <c r="AY37" s="77"/>
      <c r="AZ37" s="77"/>
      <c r="BA37" s="90"/>
      <c r="BB37" s="87"/>
      <c r="BC37" s="77"/>
      <c r="BD37" s="77"/>
      <c r="BE37" s="78"/>
      <c r="BF37" s="83"/>
      <c r="BG37" s="77"/>
      <c r="BH37" s="77"/>
      <c r="BI37" s="77"/>
      <c r="BJ37" s="85"/>
      <c r="BK37" s="89"/>
      <c r="BL37" s="77"/>
      <c r="BM37" s="77"/>
      <c r="BN37" s="90"/>
      <c r="BO37" s="87"/>
      <c r="BP37" s="77"/>
      <c r="BQ37" s="77"/>
      <c r="BR37" s="85"/>
      <c r="BS37" s="89"/>
      <c r="BT37" s="77"/>
      <c r="BU37" s="77"/>
      <c r="BV37" s="77"/>
      <c r="BW37" s="78"/>
      <c r="BX37" s="83"/>
      <c r="BY37" s="77"/>
      <c r="BZ37" s="77"/>
      <c r="CA37" s="77"/>
      <c r="CB37" s="77"/>
      <c r="CC37" s="83"/>
      <c r="CD37" s="77"/>
      <c r="CE37" s="77"/>
      <c r="CF37" s="77"/>
      <c r="CG37" s="83"/>
      <c r="CH37" s="77"/>
      <c r="CI37" s="77"/>
      <c r="CJ37" s="77"/>
      <c r="CK37" s="77"/>
      <c r="CL37" s="83"/>
      <c r="CM37" s="77"/>
      <c r="CN37" s="77"/>
      <c r="CO37" s="77"/>
      <c r="CP37" s="83"/>
      <c r="CQ37" s="77"/>
      <c r="CR37" s="77"/>
      <c r="CS37" s="77"/>
      <c r="CT37" s="83"/>
      <c r="CU37" s="87"/>
      <c r="CV37" s="77"/>
      <c r="CW37" s="77"/>
      <c r="CX37" s="77"/>
      <c r="CY37" s="83"/>
      <c r="CZ37" s="77"/>
      <c r="DA37" s="77"/>
      <c r="DB37" s="70"/>
      <c r="DC37" s="83"/>
      <c r="DD37" s="77"/>
      <c r="DE37" s="77"/>
      <c r="DF37" s="70"/>
      <c r="DG37" s="83"/>
      <c r="DH37" s="77"/>
      <c r="DI37" s="77"/>
      <c r="DJ37" s="77"/>
      <c r="DK37" s="70"/>
      <c r="DL37" s="83"/>
      <c r="DM37" s="77"/>
      <c r="DN37" s="77"/>
      <c r="DO37" s="70"/>
      <c r="DP37" s="83"/>
      <c r="DQ37" s="77"/>
      <c r="DR37" s="77"/>
      <c r="DS37" s="105"/>
      <c r="DT37" s="83"/>
      <c r="DU37" s="77"/>
      <c r="DV37" s="77"/>
      <c r="DW37" s="77"/>
      <c r="DX37" s="105"/>
      <c r="DY37" s="83"/>
      <c r="DZ37" s="77"/>
      <c r="EA37" s="77"/>
      <c r="EB37" s="77"/>
    </row>
    <row r="38" spans="2:132" ht="86.25" customHeight="1" x14ac:dyDescent="0.35">
      <c r="B38" s="251"/>
      <c r="C38" s="254"/>
      <c r="D38" s="257"/>
      <c r="E38" s="220"/>
      <c r="F38" s="220"/>
      <c r="G38" s="271"/>
      <c r="H38" s="183"/>
      <c r="I38" s="183"/>
      <c r="J38" s="183"/>
      <c r="K38" s="34"/>
      <c r="L38" s="183"/>
      <c r="M38" s="183"/>
      <c r="N38" s="183"/>
      <c r="O38" s="183"/>
      <c r="P38" s="31"/>
      <c r="Q38" s="32"/>
      <c r="R38" s="32"/>
      <c r="S38" s="35"/>
      <c r="T38" s="31"/>
      <c r="U38" s="32"/>
      <c r="V38" s="32"/>
      <c r="W38" s="35"/>
      <c r="X38" s="31"/>
      <c r="Y38" s="32"/>
      <c r="Z38" s="32"/>
      <c r="AA38" s="42"/>
      <c r="AB38" s="35"/>
      <c r="AC38" s="31"/>
      <c r="AD38" s="32"/>
      <c r="AE38" s="32"/>
      <c r="AF38" s="35"/>
      <c r="AG38" s="31"/>
      <c r="AH38" s="32"/>
      <c r="AI38" s="32"/>
      <c r="AJ38" s="35"/>
      <c r="AK38" s="31"/>
      <c r="AL38" s="32"/>
      <c r="AM38" s="32"/>
      <c r="AN38" s="32"/>
      <c r="AO38" s="35"/>
      <c r="AP38" s="31"/>
      <c r="AQ38" s="32"/>
      <c r="AR38" s="32"/>
      <c r="AS38" s="35"/>
      <c r="AT38" s="76"/>
      <c r="AU38" s="77"/>
      <c r="AV38" s="77"/>
      <c r="AW38" s="85"/>
      <c r="AX38" s="89"/>
      <c r="AY38" s="77"/>
      <c r="AZ38" s="77"/>
      <c r="BA38" s="90"/>
      <c r="BB38" s="87"/>
      <c r="BC38" s="77"/>
      <c r="BD38" s="77"/>
      <c r="BE38" s="78"/>
      <c r="BF38" s="83"/>
      <c r="BG38" s="77"/>
      <c r="BH38" s="77"/>
      <c r="BI38" s="77"/>
      <c r="BJ38" s="85"/>
      <c r="BK38" s="89"/>
      <c r="BL38" s="77"/>
      <c r="BM38" s="77"/>
      <c r="BN38" s="90"/>
      <c r="BO38" s="87"/>
      <c r="BP38" s="77"/>
      <c r="BQ38" s="77"/>
      <c r="BR38" s="85"/>
      <c r="BS38" s="89"/>
      <c r="BT38" s="77"/>
      <c r="BU38" s="77"/>
      <c r="BV38" s="77"/>
      <c r="BW38" s="78"/>
      <c r="BX38" s="83"/>
      <c r="BY38" s="77"/>
      <c r="BZ38" s="77"/>
      <c r="CA38" s="77"/>
      <c r="CB38" s="77"/>
      <c r="CC38" s="83"/>
      <c r="CD38" s="77"/>
      <c r="CE38" s="77"/>
      <c r="CF38" s="77"/>
      <c r="CG38" s="83"/>
      <c r="CH38" s="77"/>
      <c r="CI38" s="77"/>
      <c r="CK38" s="77"/>
      <c r="CL38" s="83"/>
      <c r="CM38" s="77"/>
      <c r="CN38" s="77"/>
      <c r="CO38" s="77"/>
      <c r="CP38" s="83"/>
      <c r="CQ38" s="77"/>
      <c r="CS38" s="77"/>
      <c r="CT38" s="83"/>
      <c r="CU38" s="87"/>
      <c r="CV38" s="77"/>
      <c r="CW38" s="77"/>
      <c r="CX38" s="77"/>
      <c r="CY38" s="83"/>
      <c r="CZ38" s="77"/>
      <c r="DA38" s="77"/>
      <c r="DB38" s="70"/>
      <c r="DC38" s="83"/>
      <c r="DD38" s="77"/>
      <c r="DE38" s="77"/>
      <c r="DG38" s="83"/>
      <c r="DH38" s="77"/>
      <c r="DI38" s="77"/>
      <c r="DJ38" s="77"/>
      <c r="DK38" s="70"/>
      <c r="DL38" s="83"/>
      <c r="DM38" s="77"/>
      <c r="DN38" s="77"/>
      <c r="DO38" s="70"/>
      <c r="DP38" s="83"/>
      <c r="DQ38" s="77"/>
      <c r="DR38" s="77"/>
      <c r="DS38" s="105"/>
      <c r="DT38" s="83"/>
      <c r="DU38" s="77"/>
      <c r="DW38" s="77"/>
      <c r="DX38" s="105"/>
      <c r="DY38" s="83"/>
      <c r="DZ38" s="77"/>
      <c r="EA38" s="77"/>
      <c r="EB38" s="77"/>
    </row>
    <row r="39" spans="2:132" s="16" customFormat="1" ht="24.75" customHeight="1" thickBot="1" x14ac:dyDescent="0.4">
      <c r="B39" s="252"/>
      <c r="C39" s="255"/>
      <c r="D39" s="258"/>
      <c r="E39" s="259"/>
      <c r="F39" s="259"/>
      <c r="G39" s="274"/>
      <c r="H39" s="111"/>
      <c r="I39" s="111"/>
      <c r="J39" s="111"/>
      <c r="K39" s="112"/>
      <c r="L39" s="111"/>
      <c r="M39" s="111"/>
      <c r="N39" s="111"/>
      <c r="O39" s="111"/>
      <c r="P39" s="113"/>
      <c r="Q39" s="114"/>
      <c r="R39" s="114"/>
      <c r="S39" s="115"/>
      <c r="T39" s="113"/>
      <c r="U39" s="114"/>
      <c r="V39" s="114"/>
      <c r="W39" s="115"/>
      <c r="X39" s="113"/>
      <c r="Y39" s="114"/>
      <c r="Z39" s="114"/>
      <c r="AA39" s="116"/>
      <c r="AB39" s="115"/>
      <c r="AC39" s="113"/>
      <c r="AD39" s="114"/>
      <c r="AE39" s="114"/>
      <c r="AF39" s="115"/>
      <c r="AG39" s="113"/>
      <c r="AH39" s="114"/>
      <c r="AI39" s="114"/>
      <c r="AJ39" s="115"/>
      <c r="AK39" s="113"/>
      <c r="AL39" s="114"/>
      <c r="AM39" s="114"/>
      <c r="AN39" s="114"/>
      <c r="AO39" s="115"/>
      <c r="AP39" s="113"/>
      <c r="AQ39" s="114"/>
      <c r="AR39" s="114"/>
      <c r="AS39" s="115"/>
      <c r="AT39" s="117"/>
      <c r="AU39" s="118"/>
      <c r="AV39" s="118"/>
      <c r="AW39" s="119"/>
      <c r="AX39" s="120"/>
      <c r="AY39" s="118"/>
      <c r="AZ39" s="118"/>
      <c r="BA39" s="121"/>
      <c r="BB39" s="122"/>
      <c r="BC39" s="118"/>
      <c r="BD39" s="118"/>
      <c r="BE39" s="123"/>
      <c r="BF39" s="124"/>
      <c r="BG39" s="118"/>
      <c r="BH39" s="118"/>
      <c r="BI39" s="118"/>
      <c r="BJ39" s="119"/>
      <c r="BK39" s="120"/>
      <c r="BL39" s="118"/>
      <c r="BM39" s="118"/>
      <c r="BN39" s="121"/>
      <c r="BO39" s="122"/>
      <c r="BP39" s="118"/>
      <c r="BQ39" s="118"/>
      <c r="BR39" s="119"/>
      <c r="BS39" s="120"/>
      <c r="BT39" s="118"/>
      <c r="BU39" s="118"/>
      <c r="BV39" s="118"/>
      <c r="BW39" s="123"/>
      <c r="BX39" s="124"/>
      <c r="BY39" s="118"/>
      <c r="BZ39" s="118"/>
      <c r="CA39" s="118"/>
      <c r="CB39" s="118"/>
      <c r="CC39" s="198"/>
      <c r="CD39" s="118"/>
      <c r="CE39" s="118"/>
      <c r="CF39" s="118"/>
      <c r="CG39" s="124"/>
      <c r="CH39" s="118"/>
      <c r="CI39" s="118"/>
      <c r="CJ39" s="118"/>
      <c r="CK39" s="118"/>
      <c r="CL39" s="124"/>
      <c r="CM39" s="118"/>
      <c r="CN39" s="118"/>
      <c r="CO39" s="118"/>
      <c r="CP39" s="124"/>
      <c r="CQ39" s="118"/>
      <c r="CR39" s="118"/>
      <c r="CS39" s="118"/>
      <c r="CT39" s="124"/>
      <c r="CU39" s="122"/>
      <c r="CV39" s="118"/>
      <c r="CW39" s="118"/>
      <c r="CX39" s="118"/>
      <c r="CY39" s="124"/>
      <c r="CZ39" s="118"/>
      <c r="DA39" s="118"/>
      <c r="DB39" s="72"/>
      <c r="DC39" s="124"/>
      <c r="DD39" s="118"/>
      <c r="DE39" s="118"/>
      <c r="DF39" s="72"/>
      <c r="DG39" s="124"/>
      <c r="DH39" s="118"/>
      <c r="DI39" s="118"/>
      <c r="DJ39" s="118"/>
      <c r="DK39" s="72"/>
      <c r="DL39" s="124"/>
      <c r="DM39" s="118"/>
      <c r="DN39" s="118"/>
      <c r="DO39" s="72"/>
      <c r="DP39" s="124"/>
      <c r="DQ39" s="118"/>
      <c r="DR39" s="118"/>
      <c r="DS39" s="106"/>
      <c r="DT39" s="124"/>
      <c r="DU39" s="118"/>
      <c r="DV39" s="118"/>
      <c r="DW39" s="118"/>
      <c r="DX39" s="106"/>
      <c r="DY39" s="198"/>
      <c r="DZ39" s="118"/>
      <c r="EA39" s="118"/>
      <c r="EB39" s="118"/>
    </row>
    <row r="40" spans="2:132" ht="24.75" customHeight="1" x14ac:dyDescent="0.35">
      <c r="B40" s="214" t="s">
        <v>63</v>
      </c>
      <c r="C40" s="244" t="s">
        <v>64</v>
      </c>
      <c r="D40" s="242"/>
      <c r="E40" s="247" t="s">
        <v>65</v>
      </c>
      <c r="F40" s="247"/>
      <c r="G40" s="203"/>
      <c r="H40" s="183"/>
      <c r="I40" s="183"/>
      <c r="J40" s="183"/>
      <c r="K40" s="34"/>
      <c r="L40" s="183"/>
      <c r="M40" s="183"/>
      <c r="N40" s="183"/>
      <c r="O40" s="183"/>
      <c r="P40" s="31"/>
      <c r="Q40" s="32"/>
      <c r="R40" s="32"/>
      <c r="S40" s="35"/>
      <c r="T40" s="31"/>
      <c r="U40" s="32"/>
      <c r="V40" s="32"/>
      <c r="W40" s="35"/>
      <c r="X40" s="31"/>
      <c r="Y40" s="32"/>
      <c r="Z40" s="32"/>
      <c r="AA40" s="42"/>
      <c r="AB40" s="35"/>
      <c r="AC40" s="31"/>
      <c r="AD40" s="32"/>
      <c r="AE40" s="32"/>
      <c r="AF40" s="35"/>
      <c r="AG40" s="31"/>
      <c r="AH40" s="32"/>
      <c r="AI40" s="32"/>
      <c r="AJ40" s="35"/>
      <c r="AK40" s="31"/>
      <c r="AL40" s="32"/>
      <c r="AM40" s="32"/>
      <c r="AN40" s="32"/>
      <c r="AO40" s="35"/>
      <c r="AP40" s="31"/>
      <c r="AQ40" s="32"/>
      <c r="AR40" s="32"/>
      <c r="AS40" s="35"/>
      <c r="AT40" s="76"/>
      <c r="AU40" s="77"/>
      <c r="AV40" s="77"/>
      <c r="AW40" s="85"/>
      <c r="AX40" s="89"/>
      <c r="AY40" s="77"/>
      <c r="AZ40" s="77"/>
      <c r="BA40" s="90"/>
      <c r="BB40" s="87"/>
      <c r="BC40" s="77"/>
      <c r="BD40" s="77"/>
      <c r="BE40" s="78"/>
      <c r="BF40" s="83"/>
      <c r="BG40" s="77"/>
      <c r="BH40" s="77"/>
      <c r="BI40" s="77"/>
      <c r="BJ40" s="85"/>
      <c r="BK40" s="89"/>
      <c r="BL40" s="77"/>
      <c r="BM40" s="77"/>
      <c r="BN40" s="90"/>
      <c r="BO40" s="87"/>
      <c r="BP40" s="77"/>
      <c r="BQ40" s="77"/>
      <c r="BR40" s="85"/>
      <c r="BS40" s="89"/>
      <c r="BT40" s="77"/>
      <c r="BU40" s="77"/>
      <c r="BV40" s="77"/>
      <c r="BW40" s="78"/>
      <c r="BX40" s="83"/>
      <c r="BY40" s="77"/>
      <c r="BZ40" s="77"/>
      <c r="CA40" s="77"/>
      <c r="CB40" s="77"/>
      <c r="CC40" s="83"/>
      <c r="CD40" s="77"/>
      <c r="CE40" s="77"/>
      <c r="CF40" s="77"/>
      <c r="CG40" s="83"/>
      <c r="CH40" s="77"/>
      <c r="CI40" s="77"/>
      <c r="CJ40" s="77"/>
      <c r="CK40" s="77"/>
      <c r="CL40" s="83"/>
      <c r="CM40" s="77"/>
      <c r="CN40" s="77"/>
      <c r="CO40" s="85"/>
      <c r="CP40" s="83"/>
      <c r="CQ40" s="77"/>
      <c r="CR40" s="77"/>
      <c r="CS40" s="85"/>
      <c r="CT40" s="83"/>
      <c r="CU40" s="87"/>
      <c r="CV40" s="77"/>
      <c r="CW40" s="77"/>
      <c r="CX40" s="85"/>
      <c r="CY40" s="83"/>
      <c r="CZ40" s="77"/>
      <c r="DA40" s="77"/>
      <c r="DB40" s="55"/>
      <c r="DC40" s="83"/>
      <c r="DD40" s="77"/>
      <c r="DE40" s="77"/>
      <c r="DF40" s="55"/>
      <c r="DG40" s="83"/>
      <c r="DH40" s="77"/>
      <c r="DI40" s="77"/>
      <c r="DJ40" s="77"/>
      <c r="DK40" s="55"/>
      <c r="DL40" s="83"/>
      <c r="DM40" s="77"/>
      <c r="DN40" s="77"/>
      <c r="DO40" s="55"/>
      <c r="DP40" s="83"/>
      <c r="DQ40" s="77"/>
      <c r="DR40" s="77"/>
      <c r="DS40" s="105"/>
      <c r="DT40" s="83"/>
      <c r="DU40" s="77"/>
      <c r="DV40" s="77"/>
      <c r="DW40" s="77"/>
      <c r="DX40" s="105"/>
      <c r="DY40" s="83"/>
      <c r="DZ40" s="77"/>
      <c r="EA40" s="77"/>
      <c r="EB40" s="77"/>
    </row>
    <row r="41" spans="2:132" ht="24.75" customHeight="1" x14ac:dyDescent="0.35">
      <c r="B41" s="214"/>
      <c r="C41" s="245"/>
      <c r="D41" s="242"/>
      <c r="E41" s="248"/>
      <c r="F41" s="248"/>
      <c r="G41" s="204"/>
      <c r="H41" s="183"/>
      <c r="I41" s="183"/>
      <c r="J41" s="183"/>
      <c r="K41" s="34"/>
      <c r="L41" s="183"/>
      <c r="M41" s="183"/>
      <c r="N41" s="183"/>
      <c r="O41" s="183"/>
      <c r="P41" s="31"/>
      <c r="Q41" s="32"/>
      <c r="R41" s="32"/>
      <c r="S41" s="35"/>
      <c r="T41" s="31"/>
      <c r="U41" s="32"/>
      <c r="V41" s="32"/>
      <c r="W41" s="35"/>
      <c r="X41" s="31"/>
      <c r="Y41" s="32"/>
      <c r="Z41" s="32"/>
      <c r="AA41" s="42"/>
      <c r="AB41" s="35"/>
      <c r="AC41" s="31"/>
      <c r="AD41" s="32"/>
      <c r="AE41" s="32"/>
      <c r="AF41" s="35"/>
      <c r="AG41" s="31"/>
      <c r="AH41" s="32"/>
      <c r="AI41" s="32"/>
      <c r="AJ41" s="35"/>
      <c r="AK41" s="31"/>
      <c r="AL41" s="32"/>
      <c r="AM41" s="32"/>
      <c r="AN41" s="32"/>
      <c r="AO41" s="35"/>
      <c r="AP41" s="31"/>
      <c r="AQ41" s="32"/>
      <c r="AR41" s="32"/>
      <c r="AS41" s="35"/>
      <c r="AT41" s="76"/>
      <c r="AU41" s="77"/>
      <c r="AV41" s="77"/>
      <c r="AW41" s="85"/>
      <c r="AX41" s="89"/>
      <c r="AY41" s="77"/>
      <c r="AZ41" s="77"/>
      <c r="BA41" s="90"/>
      <c r="BB41" s="87"/>
      <c r="BC41" s="77"/>
      <c r="BD41" s="77"/>
      <c r="BE41" s="78"/>
      <c r="BF41" s="83"/>
      <c r="BG41" s="77"/>
      <c r="BH41" s="77"/>
      <c r="BI41" s="77"/>
      <c r="BJ41" s="85"/>
      <c r="BK41" s="89"/>
      <c r="BL41" s="77"/>
      <c r="BM41" s="77"/>
      <c r="BN41" s="90"/>
      <c r="BO41" s="87"/>
      <c r="BP41" s="77"/>
      <c r="BQ41" s="77"/>
      <c r="BR41" s="85"/>
      <c r="BS41" s="89"/>
      <c r="BT41" s="77"/>
      <c r="BU41" s="77"/>
      <c r="BV41" s="77"/>
      <c r="BW41" s="78"/>
      <c r="BX41" s="83"/>
      <c r="BY41" s="77"/>
      <c r="BZ41" s="77"/>
      <c r="CA41" s="77"/>
      <c r="CB41" s="77"/>
      <c r="CC41" s="83"/>
      <c r="CD41" s="77"/>
      <c r="CE41" s="77"/>
      <c r="CF41" s="77"/>
      <c r="CG41" s="83"/>
      <c r="CH41" s="77"/>
      <c r="CI41" s="77"/>
      <c r="CJ41" s="77"/>
      <c r="CK41" s="77"/>
      <c r="CL41" s="83"/>
      <c r="CM41" s="77"/>
      <c r="CN41" s="77"/>
      <c r="CO41" s="85"/>
      <c r="CP41" s="83"/>
      <c r="CQ41" s="77"/>
      <c r="CR41" s="77"/>
      <c r="CS41" s="85"/>
      <c r="CT41" s="83"/>
      <c r="CU41" s="87"/>
      <c r="CV41" s="77"/>
      <c r="CW41" s="77"/>
      <c r="CX41" s="85"/>
      <c r="CY41" s="83"/>
      <c r="CZ41" s="77"/>
      <c r="DA41" s="77"/>
      <c r="DB41" s="55"/>
      <c r="DC41" s="83"/>
      <c r="DD41" s="77"/>
      <c r="DE41" s="77"/>
      <c r="DF41" s="55"/>
      <c r="DG41" s="83"/>
      <c r="DH41" s="77"/>
      <c r="DI41" s="77"/>
      <c r="DJ41" s="77"/>
      <c r="DK41" s="55"/>
      <c r="DL41" s="83"/>
      <c r="DM41" s="77"/>
      <c r="DN41" s="77"/>
      <c r="DO41" s="55"/>
      <c r="DP41" s="83"/>
      <c r="DQ41" s="77"/>
      <c r="DR41" s="77"/>
      <c r="DS41" s="105"/>
      <c r="DT41" s="83"/>
      <c r="DU41" s="77"/>
      <c r="DV41" s="77"/>
      <c r="DW41" s="77"/>
      <c r="DX41" s="105"/>
      <c r="DY41" s="83"/>
      <c r="DZ41" s="77"/>
      <c r="EA41" s="77"/>
      <c r="EB41" s="77"/>
    </row>
    <row r="42" spans="2:132" ht="24.75" customHeight="1" x14ac:dyDescent="0.35">
      <c r="B42" s="214"/>
      <c r="C42" s="245"/>
      <c r="D42" s="242"/>
      <c r="E42" s="248"/>
      <c r="F42" s="248"/>
      <c r="G42" s="204"/>
      <c r="H42" s="183"/>
      <c r="I42" s="183"/>
      <c r="J42" s="183"/>
      <c r="K42" s="34"/>
      <c r="L42" s="183"/>
      <c r="M42" s="183"/>
      <c r="N42" s="183"/>
      <c r="O42" s="183"/>
      <c r="P42" s="31"/>
      <c r="Q42" s="32"/>
      <c r="R42" s="32"/>
      <c r="S42" s="35"/>
      <c r="T42" s="31"/>
      <c r="U42" s="32"/>
      <c r="V42" s="32"/>
      <c r="W42" s="35"/>
      <c r="X42" s="31"/>
      <c r="Y42" s="32"/>
      <c r="Z42" s="32"/>
      <c r="AA42" s="42"/>
      <c r="AB42" s="35"/>
      <c r="AC42" s="31"/>
      <c r="AD42" s="32"/>
      <c r="AE42" s="32"/>
      <c r="AF42" s="35"/>
      <c r="AG42" s="31"/>
      <c r="AH42" s="32"/>
      <c r="AI42" s="32"/>
      <c r="AJ42" s="35"/>
      <c r="AK42" s="31"/>
      <c r="AL42" s="32"/>
      <c r="AM42" s="32"/>
      <c r="AN42" s="32"/>
      <c r="AO42" s="35"/>
      <c r="AP42" s="31"/>
      <c r="AQ42" s="32"/>
      <c r="AR42" s="32"/>
      <c r="AS42" s="35"/>
      <c r="AT42" s="76"/>
      <c r="AU42" s="77"/>
      <c r="AV42" s="77"/>
      <c r="AW42" s="85"/>
      <c r="AX42" s="89"/>
      <c r="AY42" s="77"/>
      <c r="AZ42" s="77"/>
      <c r="BA42" s="90"/>
      <c r="BB42" s="87"/>
      <c r="BC42" s="77"/>
      <c r="BD42" s="77"/>
      <c r="BE42" s="78"/>
      <c r="BF42" s="83"/>
      <c r="BG42" s="77"/>
      <c r="BH42" s="77"/>
      <c r="BI42" s="77"/>
      <c r="BJ42" s="85"/>
      <c r="BK42" s="89"/>
      <c r="BL42" s="77"/>
      <c r="BM42" s="77"/>
      <c r="BN42" s="90"/>
      <c r="BO42" s="87"/>
      <c r="BP42" s="77"/>
      <c r="BQ42" s="77"/>
      <c r="BR42" s="85"/>
      <c r="BS42" s="89"/>
      <c r="BT42" s="77"/>
      <c r="BU42" s="77"/>
      <c r="BV42" s="77"/>
      <c r="BW42" s="78"/>
      <c r="BX42" s="83"/>
      <c r="BY42" s="77"/>
      <c r="BZ42" s="77"/>
      <c r="CA42" s="77"/>
      <c r="CB42" s="77"/>
      <c r="CC42" s="83"/>
      <c r="CD42" s="77"/>
      <c r="CE42" s="77"/>
      <c r="CF42" s="77"/>
      <c r="CG42" s="83"/>
      <c r="CH42" s="77"/>
      <c r="CI42" s="77"/>
      <c r="CJ42" s="77"/>
      <c r="CK42" s="77"/>
      <c r="CL42" s="83"/>
      <c r="CM42" s="77"/>
      <c r="CN42" s="77"/>
      <c r="CO42" s="85"/>
      <c r="CP42" s="83"/>
      <c r="CQ42" s="77"/>
      <c r="CR42" s="77"/>
      <c r="CS42" s="85"/>
      <c r="CT42" s="83"/>
      <c r="CU42" s="87"/>
      <c r="CV42" s="77"/>
      <c r="CW42" s="77"/>
      <c r="CX42" s="85"/>
      <c r="CY42" s="83"/>
      <c r="CZ42" s="77"/>
      <c r="DA42" s="77"/>
      <c r="DB42" s="55"/>
      <c r="DC42" s="83"/>
      <c r="DD42" s="77"/>
      <c r="DE42" s="77"/>
      <c r="DF42" s="55"/>
      <c r="DG42" s="83"/>
      <c r="DH42" s="77"/>
      <c r="DI42" s="77"/>
      <c r="DJ42" s="77"/>
      <c r="DK42" s="55"/>
      <c r="DL42" s="83"/>
      <c r="DM42" s="77"/>
      <c r="DN42" s="77"/>
      <c r="DO42" s="55"/>
      <c r="DP42" s="83"/>
      <c r="DQ42" s="77"/>
      <c r="DR42" s="77"/>
      <c r="DS42" s="105"/>
      <c r="DT42" s="83"/>
      <c r="DU42" s="77"/>
      <c r="DV42" s="77"/>
      <c r="DW42" s="77"/>
      <c r="DX42" s="105"/>
      <c r="DY42" s="83"/>
      <c r="DZ42" s="77"/>
      <c r="EA42" s="77"/>
      <c r="EB42" s="77"/>
    </row>
    <row r="43" spans="2:132" ht="24.75" customHeight="1" x14ac:dyDescent="0.35">
      <c r="B43" s="214"/>
      <c r="C43" s="245"/>
      <c r="D43" s="242"/>
      <c r="E43" s="248"/>
      <c r="F43" s="248"/>
      <c r="G43" s="204"/>
      <c r="H43" s="183"/>
      <c r="I43" s="183"/>
      <c r="J43" s="183"/>
      <c r="K43" s="34"/>
      <c r="L43" s="183"/>
      <c r="M43" s="183"/>
      <c r="N43" s="183"/>
      <c r="O43" s="183"/>
      <c r="P43" s="31"/>
      <c r="Q43" s="32"/>
      <c r="R43" s="32"/>
      <c r="S43" s="35"/>
      <c r="T43" s="31"/>
      <c r="U43" s="32"/>
      <c r="V43" s="32"/>
      <c r="W43" s="35"/>
      <c r="X43" s="31"/>
      <c r="Y43" s="32"/>
      <c r="Z43" s="32"/>
      <c r="AA43" s="42"/>
      <c r="AB43" s="35"/>
      <c r="AC43" s="31"/>
      <c r="AD43" s="32"/>
      <c r="AE43" s="32"/>
      <c r="AF43" s="35"/>
      <c r="AG43" s="31"/>
      <c r="AH43" s="32"/>
      <c r="AI43" s="32"/>
      <c r="AJ43" s="35"/>
      <c r="AK43" s="31"/>
      <c r="AL43" s="32"/>
      <c r="AM43" s="32"/>
      <c r="AN43" s="32"/>
      <c r="AO43" s="35"/>
      <c r="AP43" s="31"/>
      <c r="AQ43" s="32"/>
      <c r="AR43" s="32"/>
      <c r="AS43" s="35"/>
      <c r="AT43" s="76"/>
      <c r="AU43" s="77"/>
      <c r="AV43" s="77"/>
      <c r="AW43" s="85"/>
      <c r="AX43" s="89"/>
      <c r="AY43" s="77"/>
      <c r="AZ43" s="77"/>
      <c r="BA43" s="90"/>
      <c r="BB43" s="87"/>
      <c r="BC43" s="77"/>
      <c r="BD43" s="77"/>
      <c r="BE43" s="78"/>
      <c r="BF43" s="83"/>
      <c r="BG43" s="77"/>
      <c r="BH43" s="77"/>
      <c r="BI43" s="77"/>
      <c r="BJ43" s="85"/>
      <c r="BK43" s="89"/>
      <c r="BL43" s="77"/>
      <c r="BM43" s="77"/>
      <c r="BN43" s="90"/>
      <c r="BO43" s="87"/>
      <c r="BP43" s="77"/>
      <c r="BQ43" s="77"/>
      <c r="BR43" s="85"/>
      <c r="BS43" s="89"/>
      <c r="BT43" s="77"/>
      <c r="BU43" s="77"/>
      <c r="BV43" s="77"/>
      <c r="BW43" s="78"/>
      <c r="BX43" s="83"/>
      <c r="BY43" s="77"/>
      <c r="BZ43" s="77"/>
      <c r="CA43" s="77"/>
      <c r="CB43" s="77"/>
      <c r="CC43" s="83"/>
      <c r="CD43" s="77"/>
      <c r="CE43" s="77"/>
      <c r="CF43" s="77"/>
      <c r="CG43" s="83"/>
      <c r="CH43" s="77"/>
      <c r="CI43" s="77"/>
      <c r="CJ43" s="77"/>
      <c r="CK43" s="77"/>
      <c r="CL43" s="83"/>
      <c r="CM43" s="77"/>
      <c r="CN43" s="77"/>
      <c r="CO43" s="85"/>
      <c r="CP43" s="83"/>
      <c r="CQ43" s="77"/>
      <c r="CR43" s="77"/>
      <c r="CS43" s="85"/>
      <c r="CT43" s="83"/>
      <c r="CU43" s="87"/>
      <c r="CV43" s="77"/>
      <c r="CW43" s="77"/>
      <c r="CX43" s="85"/>
      <c r="CY43" s="83"/>
      <c r="CZ43" s="77"/>
      <c r="DA43" s="77"/>
      <c r="DB43" s="55"/>
      <c r="DC43" s="83"/>
      <c r="DD43" s="77"/>
      <c r="DE43" s="77"/>
      <c r="DF43" s="55"/>
      <c r="DG43" s="83"/>
      <c r="DH43" s="77"/>
      <c r="DI43" s="77"/>
      <c r="DJ43" s="77"/>
      <c r="DK43" s="55"/>
      <c r="DL43" s="83"/>
      <c r="DM43" s="77"/>
      <c r="DN43" s="77"/>
      <c r="DO43" s="55"/>
      <c r="DP43" s="83"/>
      <c r="DQ43" s="77"/>
      <c r="DR43" s="77"/>
      <c r="DS43" s="105"/>
      <c r="DT43" s="83"/>
      <c r="DU43" s="77"/>
      <c r="DV43" s="77"/>
      <c r="DW43" s="77"/>
      <c r="DX43" s="105"/>
      <c r="DY43" s="83"/>
      <c r="DZ43" s="77"/>
      <c r="EA43" s="77"/>
      <c r="EB43" s="77"/>
    </row>
    <row r="44" spans="2:132" ht="24.75" customHeight="1" x14ac:dyDescent="0.35">
      <c r="B44" s="214"/>
      <c r="C44" s="245"/>
      <c r="D44" s="242"/>
      <c r="E44" s="248"/>
      <c r="F44" s="248"/>
      <c r="G44" s="204"/>
      <c r="H44" s="183"/>
      <c r="I44" s="183"/>
      <c r="J44" s="183"/>
      <c r="K44" s="34"/>
      <c r="L44" s="183"/>
      <c r="M44" s="183"/>
      <c r="N44" s="183"/>
      <c r="O44" s="183"/>
      <c r="P44" s="31"/>
      <c r="Q44" s="32"/>
      <c r="R44" s="32"/>
      <c r="S44" s="35"/>
      <c r="T44" s="31"/>
      <c r="U44" s="32"/>
      <c r="V44" s="32"/>
      <c r="W44" s="35"/>
      <c r="X44" s="31"/>
      <c r="Y44" s="32"/>
      <c r="Z44" s="32"/>
      <c r="AA44" s="42"/>
      <c r="AB44" s="35"/>
      <c r="AC44" s="31"/>
      <c r="AD44" s="32"/>
      <c r="AE44" s="32"/>
      <c r="AF44" s="35"/>
      <c r="AG44" s="31"/>
      <c r="AH44" s="32"/>
      <c r="AI44" s="32"/>
      <c r="AJ44" s="35"/>
      <c r="AK44" s="31"/>
      <c r="AL44" s="32"/>
      <c r="AM44" s="32"/>
      <c r="AN44" s="32"/>
      <c r="AO44" s="35"/>
      <c r="AP44" s="31"/>
      <c r="AQ44" s="32"/>
      <c r="AR44" s="32"/>
      <c r="AS44" s="35"/>
      <c r="AT44" s="76"/>
      <c r="AU44" s="77"/>
      <c r="AV44" s="77"/>
      <c r="AW44" s="85"/>
      <c r="AX44" s="89"/>
      <c r="AY44" s="77"/>
      <c r="AZ44" s="77"/>
      <c r="BA44" s="90"/>
      <c r="BB44" s="87"/>
      <c r="BC44" s="77"/>
      <c r="BD44" s="77"/>
      <c r="BE44" s="78"/>
      <c r="BF44" s="83"/>
      <c r="BG44" s="77"/>
      <c r="BH44" s="77"/>
      <c r="BI44" s="77"/>
      <c r="BJ44" s="85"/>
      <c r="BK44" s="89"/>
      <c r="BL44" s="77"/>
      <c r="BM44" s="77"/>
      <c r="BN44" s="90"/>
      <c r="BO44" s="87"/>
      <c r="BP44" s="77"/>
      <c r="BQ44" s="77"/>
      <c r="BR44" s="85"/>
      <c r="BS44" s="89"/>
      <c r="BT44" s="77"/>
      <c r="BU44" s="77"/>
      <c r="BV44" s="77"/>
      <c r="BW44" s="78"/>
      <c r="BX44" s="83"/>
      <c r="BY44" s="77"/>
      <c r="BZ44" s="77"/>
      <c r="CA44" s="77"/>
      <c r="CB44" s="77"/>
      <c r="CC44" s="83"/>
      <c r="CD44" s="77"/>
      <c r="CE44" s="77"/>
      <c r="CF44" s="77"/>
      <c r="CG44" s="83"/>
      <c r="CH44" s="77"/>
      <c r="CI44" s="77"/>
      <c r="CJ44" s="77"/>
      <c r="CK44" s="77"/>
      <c r="CL44" s="83"/>
      <c r="CM44" s="77"/>
      <c r="CN44" s="77"/>
      <c r="CO44" s="85"/>
      <c r="CP44" s="83"/>
      <c r="CQ44" s="77"/>
      <c r="CR44" s="77"/>
      <c r="CS44" s="85"/>
      <c r="CT44" s="83"/>
      <c r="CU44" s="87"/>
      <c r="CV44" s="77"/>
      <c r="CW44" s="77"/>
      <c r="CX44" s="85"/>
      <c r="CY44" s="83"/>
      <c r="CZ44" s="77"/>
      <c r="DA44" s="77"/>
      <c r="DB44" s="55"/>
      <c r="DC44" s="83"/>
      <c r="DD44" s="77"/>
      <c r="DE44" s="77"/>
      <c r="DF44" s="55"/>
      <c r="DG44" s="83"/>
      <c r="DH44" s="77"/>
      <c r="DI44" s="77"/>
      <c r="DJ44" s="77"/>
      <c r="DK44" s="55"/>
      <c r="DL44" s="83"/>
      <c r="DM44" s="77"/>
      <c r="DN44" s="77"/>
      <c r="DO44" s="55"/>
      <c r="DP44" s="83"/>
      <c r="DQ44" s="77"/>
      <c r="DR44" s="77"/>
      <c r="DS44" s="105"/>
      <c r="DT44" s="83"/>
      <c r="DU44" s="77"/>
      <c r="DV44" s="77"/>
      <c r="DW44" s="77"/>
      <c r="DX44" s="105"/>
      <c r="DY44" s="83"/>
      <c r="DZ44" s="77"/>
      <c r="EA44" s="77"/>
      <c r="EB44" s="77"/>
    </row>
    <row r="45" spans="2:132" ht="24.75" customHeight="1" x14ac:dyDescent="0.35">
      <c r="B45" s="214"/>
      <c r="C45" s="245"/>
      <c r="D45" s="242"/>
      <c r="E45" s="248"/>
      <c r="F45" s="248"/>
      <c r="G45" s="204"/>
      <c r="H45" s="183"/>
      <c r="I45" s="183"/>
      <c r="J45" s="183"/>
      <c r="K45" s="34"/>
      <c r="L45" s="183"/>
      <c r="M45" s="183"/>
      <c r="N45" s="183"/>
      <c r="O45" s="183"/>
      <c r="P45" s="31"/>
      <c r="Q45" s="32"/>
      <c r="R45" s="32"/>
      <c r="S45" s="35"/>
      <c r="T45" s="31"/>
      <c r="U45" s="32"/>
      <c r="V45" s="32"/>
      <c r="W45" s="35"/>
      <c r="X45" s="31"/>
      <c r="Y45" s="32"/>
      <c r="Z45" s="32"/>
      <c r="AA45" s="42"/>
      <c r="AB45" s="35"/>
      <c r="AC45" s="31"/>
      <c r="AD45" s="32"/>
      <c r="AE45" s="32"/>
      <c r="AF45" s="35"/>
      <c r="AG45" s="31"/>
      <c r="AH45" s="32"/>
      <c r="AI45" s="32"/>
      <c r="AJ45" s="35"/>
      <c r="AK45" s="31"/>
      <c r="AL45" s="32"/>
      <c r="AM45" s="32"/>
      <c r="AN45" s="32"/>
      <c r="AO45" s="35"/>
      <c r="AP45" s="31"/>
      <c r="AQ45" s="32"/>
      <c r="AR45" s="32"/>
      <c r="AS45" s="35"/>
      <c r="AT45" s="76"/>
      <c r="AU45" s="77"/>
      <c r="AV45" s="77"/>
      <c r="AW45" s="85"/>
      <c r="AX45" s="89"/>
      <c r="AY45" s="77"/>
      <c r="AZ45" s="77"/>
      <c r="BA45" s="90"/>
      <c r="BB45" s="87"/>
      <c r="BC45" s="77"/>
      <c r="BD45" s="77"/>
      <c r="BE45" s="78"/>
      <c r="BF45" s="83"/>
      <c r="BG45" s="77"/>
      <c r="BH45" s="77"/>
      <c r="BI45" s="77"/>
      <c r="BJ45" s="85"/>
      <c r="BK45" s="89"/>
      <c r="BL45" s="77"/>
      <c r="BM45" s="77"/>
      <c r="BN45" s="90"/>
      <c r="BO45" s="87"/>
      <c r="BP45" s="77"/>
      <c r="BQ45" s="77"/>
      <c r="BR45" s="85"/>
      <c r="BS45" s="89"/>
      <c r="BT45" s="77"/>
      <c r="BU45" s="77"/>
      <c r="BV45" s="77"/>
      <c r="BW45" s="78"/>
      <c r="BX45" s="83"/>
      <c r="BY45" s="77"/>
      <c r="BZ45" s="77"/>
      <c r="CA45" s="77"/>
      <c r="CB45" s="77"/>
      <c r="CC45" s="83"/>
      <c r="CD45" s="77"/>
      <c r="CE45" s="77"/>
      <c r="CF45" s="77"/>
      <c r="CG45" s="83"/>
      <c r="CH45" s="77"/>
      <c r="CI45" s="77"/>
      <c r="CJ45" s="77"/>
      <c r="CK45" s="77"/>
      <c r="CL45" s="83"/>
      <c r="CN45" s="77"/>
      <c r="CO45" s="85"/>
      <c r="CP45" s="83"/>
      <c r="CQ45" s="77"/>
      <c r="CR45" s="77"/>
      <c r="CS45" s="85"/>
      <c r="CT45" s="83"/>
      <c r="CU45" s="87"/>
      <c r="CV45" s="77"/>
      <c r="CW45" s="77"/>
      <c r="CX45" s="85"/>
      <c r="CY45" s="83"/>
      <c r="CZ45" s="77"/>
      <c r="DA45" s="77"/>
      <c r="DB45" s="55"/>
      <c r="DC45" s="83"/>
      <c r="DD45" s="77"/>
      <c r="DE45" s="77"/>
      <c r="DF45" s="55"/>
      <c r="DG45" s="83"/>
      <c r="DH45" s="77"/>
      <c r="DI45" s="77"/>
      <c r="DJ45" s="77"/>
      <c r="DK45" s="55"/>
      <c r="DL45" s="76"/>
      <c r="DN45" s="77"/>
      <c r="DO45" s="55"/>
      <c r="DP45" s="83"/>
      <c r="DQ45" s="77"/>
      <c r="DR45" s="77"/>
      <c r="DS45" s="105"/>
      <c r="DT45" s="83"/>
      <c r="DU45" s="77"/>
      <c r="DV45" s="77"/>
      <c r="DW45" s="77"/>
      <c r="DX45" s="105"/>
      <c r="DY45" s="83"/>
      <c r="DZ45" s="77"/>
      <c r="EA45" s="77"/>
      <c r="EB45" s="77"/>
    </row>
    <row r="46" spans="2:132" ht="43" customHeight="1" thickBot="1" x14ac:dyDescent="0.4">
      <c r="B46" s="215"/>
      <c r="C46" s="246"/>
      <c r="D46" s="243"/>
      <c r="E46" s="249"/>
      <c r="F46" s="249"/>
      <c r="G46" s="205"/>
      <c r="H46" s="111"/>
      <c r="I46" s="111"/>
      <c r="J46" s="111"/>
      <c r="K46" s="112"/>
      <c r="L46" s="111"/>
      <c r="M46" s="111"/>
      <c r="N46" s="111"/>
      <c r="O46" s="111"/>
      <c r="P46" s="113"/>
      <c r="Q46" s="114"/>
      <c r="R46" s="114"/>
      <c r="S46" s="115"/>
      <c r="T46" s="113"/>
      <c r="U46" s="114"/>
      <c r="V46" s="114"/>
      <c r="W46" s="115"/>
      <c r="X46" s="113"/>
      <c r="Y46" s="114"/>
      <c r="Z46" s="114"/>
      <c r="AA46" s="116"/>
      <c r="AB46" s="115"/>
      <c r="AC46" s="113"/>
      <c r="AD46" s="114"/>
      <c r="AE46" s="114"/>
      <c r="AF46" s="115"/>
      <c r="AG46" s="113"/>
      <c r="AH46" s="114"/>
      <c r="AI46" s="114"/>
      <c r="AJ46" s="115"/>
      <c r="AK46" s="113"/>
      <c r="AL46" s="114"/>
      <c r="AM46" s="114"/>
      <c r="AN46" s="114"/>
      <c r="AO46" s="115"/>
      <c r="AP46" s="113"/>
      <c r="AQ46" s="114"/>
      <c r="AR46" s="114"/>
      <c r="AS46" s="115"/>
      <c r="AT46" s="117"/>
      <c r="AU46" s="118"/>
      <c r="AV46" s="118"/>
      <c r="AW46" s="119"/>
      <c r="AX46" s="120"/>
      <c r="AY46" s="118"/>
      <c r="AZ46" s="118"/>
      <c r="BA46" s="121"/>
      <c r="BB46" s="122"/>
      <c r="BC46" s="118"/>
      <c r="BD46" s="118"/>
      <c r="BE46" s="123"/>
      <c r="BF46" s="124"/>
      <c r="BG46" s="118"/>
      <c r="BH46" s="118"/>
      <c r="BI46" s="118"/>
      <c r="BJ46" s="119"/>
      <c r="BK46" s="120"/>
      <c r="BL46" s="118"/>
      <c r="BM46" s="118"/>
      <c r="BN46" s="121"/>
      <c r="BO46" s="122"/>
      <c r="BP46" s="118"/>
      <c r="BQ46" s="118"/>
      <c r="BR46" s="119"/>
      <c r="BS46" s="120"/>
      <c r="BT46" s="118"/>
      <c r="BU46" s="118"/>
      <c r="BV46" s="118"/>
      <c r="BW46" s="123"/>
      <c r="BX46" s="124"/>
      <c r="BY46" s="118"/>
      <c r="BZ46" s="118"/>
      <c r="CA46" s="118"/>
      <c r="CB46" s="118"/>
      <c r="CC46" s="124"/>
      <c r="CD46" s="118"/>
      <c r="CE46" s="118"/>
      <c r="CF46" s="118"/>
      <c r="CG46" s="124"/>
      <c r="CH46" s="118"/>
      <c r="CI46" s="118"/>
      <c r="CJ46" s="118"/>
      <c r="CK46" s="118"/>
      <c r="CL46" s="124"/>
      <c r="CM46" s="118"/>
      <c r="CN46" s="118"/>
      <c r="CO46" s="119"/>
      <c r="CP46" s="124"/>
      <c r="CQ46" s="118"/>
      <c r="CR46" s="118"/>
      <c r="CS46" s="119"/>
      <c r="CT46" s="124"/>
      <c r="CU46" s="122"/>
      <c r="CV46" s="118"/>
      <c r="CW46" s="118"/>
      <c r="CX46" s="119"/>
      <c r="CY46" s="124"/>
      <c r="CZ46" s="118"/>
      <c r="DA46" s="118"/>
      <c r="DB46" s="56"/>
      <c r="DC46" s="124"/>
      <c r="DD46" s="118"/>
      <c r="DE46" s="118"/>
      <c r="DF46" s="56"/>
      <c r="DG46" s="124"/>
      <c r="DH46" s="118"/>
      <c r="DI46" s="118"/>
      <c r="DJ46" s="118"/>
      <c r="DK46" s="56"/>
      <c r="DL46" s="124"/>
      <c r="DM46" s="118"/>
      <c r="DN46" s="118"/>
      <c r="DO46" s="56"/>
      <c r="DP46" s="124"/>
      <c r="DQ46" s="118"/>
      <c r="DR46" s="118"/>
      <c r="DS46" s="106"/>
      <c r="DT46" s="124"/>
      <c r="DU46" s="118"/>
      <c r="DV46" s="118"/>
      <c r="DW46" s="118"/>
      <c r="DX46" s="106"/>
      <c r="DY46" s="124"/>
      <c r="DZ46" s="118"/>
      <c r="EA46" s="118"/>
      <c r="EB46" s="118"/>
    </row>
    <row r="47" spans="2:132" ht="18" customHeight="1" x14ac:dyDescent="0.35">
      <c r="B47" s="237" t="s">
        <v>66</v>
      </c>
      <c r="C47" s="239" t="s">
        <v>67</v>
      </c>
      <c r="D47" s="8"/>
      <c r="E47" s="225" t="s">
        <v>99</v>
      </c>
      <c r="F47" s="229"/>
      <c r="G47" s="222" t="s">
        <v>68</v>
      </c>
      <c r="H47" s="10"/>
      <c r="K47" s="5"/>
      <c r="P47" s="18"/>
      <c r="Q47" s="19"/>
      <c r="R47" s="19"/>
      <c r="S47" s="20"/>
      <c r="T47" s="18"/>
      <c r="U47" s="19"/>
      <c r="V47" s="19"/>
      <c r="W47" s="20"/>
      <c r="X47" s="18"/>
      <c r="Y47" s="19"/>
      <c r="Z47" s="19"/>
      <c r="AA47" s="38"/>
      <c r="AB47" s="20"/>
      <c r="AC47" s="18"/>
      <c r="AD47" s="19"/>
      <c r="AE47" s="19"/>
      <c r="AF47" s="20"/>
      <c r="AG47" s="18"/>
      <c r="AH47" s="19"/>
      <c r="AI47" s="19"/>
      <c r="AJ47" s="20"/>
      <c r="AK47" s="18"/>
      <c r="AL47" s="19"/>
      <c r="AM47" s="19"/>
      <c r="AN47" s="19"/>
      <c r="AO47" s="20"/>
      <c r="AP47" s="18"/>
      <c r="AQ47" s="19"/>
      <c r="AR47" s="19"/>
      <c r="AS47" s="20"/>
      <c r="AT47" s="49"/>
      <c r="AU47" s="50"/>
      <c r="AV47" s="50"/>
      <c r="AW47" s="55"/>
      <c r="AX47" s="62"/>
      <c r="AY47" s="50"/>
      <c r="AZ47" s="50"/>
      <c r="BA47" s="63"/>
      <c r="BB47" s="58"/>
      <c r="BC47" s="50"/>
      <c r="BD47" s="50"/>
      <c r="BE47" s="70"/>
      <c r="BF47" s="71"/>
      <c r="BG47" s="50"/>
      <c r="BH47" s="50"/>
      <c r="BI47" s="50"/>
      <c r="BJ47" s="55"/>
      <c r="BK47" s="62"/>
      <c r="BL47" s="50"/>
      <c r="BM47" s="50"/>
      <c r="BN47" s="63"/>
      <c r="BO47" s="58"/>
      <c r="BP47" s="50"/>
      <c r="BQ47" s="50"/>
      <c r="BR47" s="55"/>
      <c r="BS47" s="62"/>
      <c r="BT47" s="50"/>
      <c r="BU47" s="50"/>
      <c r="BV47" s="50"/>
      <c r="BW47" s="70"/>
      <c r="BX47" s="71"/>
      <c r="BY47" s="50"/>
      <c r="BZ47" s="50"/>
      <c r="CA47" s="50"/>
      <c r="CB47" s="50"/>
      <c r="CC47" s="71"/>
      <c r="CD47" s="50"/>
      <c r="CE47" s="50"/>
      <c r="CF47" s="50"/>
      <c r="CG47" s="71"/>
      <c r="CH47" s="50"/>
      <c r="CI47" s="50"/>
      <c r="CJ47" s="50"/>
      <c r="CK47" s="50"/>
      <c r="CL47" s="71"/>
      <c r="CM47" s="50"/>
      <c r="CN47" s="50"/>
      <c r="CO47" s="105"/>
      <c r="CP47" s="71"/>
      <c r="CQ47" s="50"/>
      <c r="CR47" s="50"/>
      <c r="CS47" s="105"/>
      <c r="CT47" s="71"/>
      <c r="CU47" s="58"/>
      <c r="CV47" s="50"/>
      <c r="CW47" s="50"/>
      <c r="CX47" s="105"/>
      <c r="CY47" s="71"/>
      <c r="CZ47" s="50"/>
      <c r="DA47" s="50"/>
      <c r="DB47" s="105"/>
      <c r="DC47" s="71"/>
      <c r="DD47" s="50"/>
      <c r="DE47" s="50"/>
      <c r="DF47" s="105"/>
      <c r="DG47" s="71"/>
      <c r="DH47" s="50"/>
      <c r="DI47" s="50"/>
      <c r="DJ47" s="50"/>
      <c r="DK47" s="105"/>
      <c r="DL47" s="71"/>
      <c r="DM47" s="50"/>
      <c r="DN47" s="50"/>
      <c r="DO47" s="105"/>
      <c r="DP47" s="71"/>
      <c r="DQ47" s="50"/>
      <c r="DR47" s="50"/>
      <c r="DS47" s="105"/>
      <c r="DT47" s="71"/>
      <c r="DU47" s="50"/>
      <c r="DV47" s="50"/>
      <c r="DW47" s="50"/>
      <c r="DX47" s="105"/>
      <c r="DY47" s="71"/>
      <c r="DZ47" s="50"/>
      <c r="EA47" s="50"/>
      <c r="EB47" s="50"/>
    </row>
    <row r="48" spans="2:132" ht="18" customHeight="1" x14ac:dyDescent="0.35">
      <c r="B48" s="238"/>
      <c r="C48" s="239"/>
      <c r="D48" s="8"/>
      <c r="E48" s="226"/>
      <c r="F48" s="230"/>
      <c r="G48" s="223"/>
      <c r="H48" s="10"/>
      <c r="K48" s="5"/>
      <c r="P48" s="18"/>
      <c r="Q48" s="19"/>
      <c r="R48" s="19"/>
      <c r="S48" s="20"/>
      <c r="T48" s="18"/>
      <c r="U48" s="19"/>
      <c r="V48" s="19"/>
      <c r="W48" s="20"/>
      <c r="X48" s="18"/>
      <c r="Y48" s="19"/>
      <c r="Z48" s="19"/>
      <c r="AA48" s="38"/>
      <c r="AB48" s="20"/>
      <c r="AC48" s="18"/>
      <c r="AD48" s="19"/>
      <c r="AE48" s="19"/>
      <c r="AF48" s="20"/>
      <c r="AG48" s="18"/>
      <c r="AH48" s="19"/>
      <c r="AI48" s="19"/>
      <c r="AJ48" s="20"/>
      <c r="AK48" s="18"/>
      <c r="AL48" s="19"/>
      <c r="AM48" s="19"/>
      <c r="AN48" s="19"/>
      <c r="AO48" s="20"/>
      <c r="AP48" s="18"/>
      <c r="AQ48" s="19"/>
      <c r="AR48" s="19"/>
      <c r="AS48" s="20"/>
      <c r="AT48" s="49"/>
      <c r="AU48" s="50"/>
      <c r="AV48" s="50"/>
      <c r="AW48" s="55"/>
      <c r="AX48" s="62"/>
      <c r="AY48" s="50"/>
      <c r="AZ48" s="50"/>
      <c r="BA48" s="63"/>
      <c r="BB48" s="58"/>
      <c r="BC48" s="50"/>
      <c r="BD48" s="50"/>
      <c r="BE48" s="70"/>
      <c r="BF48" s="71"/>
      <c r="BG48" s="50"/>
      <c r="BH48" s="50"/>
      <c r="BI48" s="50"/>
      <c r="BJ48" s="55"/>
      <c r="BK48" s="62"/>
      <c r="BL48" s="50"/>
      <c r="BM48" s="50"/>
      <c r="BN48" s="63"/>
      <c r="BO48" s="58"/>
      <c r="BP48" s="50"/>
      <c r="BQ48" s="50"/>
      <c r="BR48" s="55"/>
      <c r="BS48" s="62"/>
      <c r="BT48" s="50"/>
      <c r="BU48" s="50"/>
      <c r="BV48" s="50"/>
      <c r="BW48" s="70"/>
      <c r="BX48" s="71"/>
      <c r="BY48" s="50"/>
      <c r="BZ48" s="50"/>
      <c r="CA48" s="50"/>
      <c r="CB48" s="50"/>
      <c r="CC48" s="71"/>
      <c r="CD48" s="50"/>
      <c r="CE48" s="50"/>
      <c r="CF48" s="50"/>
      <c r="CG48" s="71"/>
      <c r="CH48" s="50"/>
      <c r="CI48" s="50"/>
      <c r="CJ48" s="50"/>
      <c r="CK48" s="50"/>
      <c r="CL48" s="71"/>
      <c r="CM48" s="50"/>
      <c r="CN48" s="50"/>
      <c r="CO48" s="105"/>
      <c r="CP48" s="71"/>
      <c r="CQ48" s="50"/>
      <c r="CR48" s="50"/>
      <c r="CS48" s="105"/>
      <c r="CT48" s="71"/>
      <c r="CU48" s="58"/>
      <c r="CV48" s="50"/>
      <c r="CW48" s="50"/>
      <c r="CX48" s="105"/>
      <c r="CY48" s="71"/>
      <c r="CZ48" s="50"/>
      <c r="DA48" s="50"/>
      <c r="DB48" s="105"/>
      <c r="DD48" s="50"/>
      <c r="DE48" s="50"/>
      <c r="DF48" s="105"/>
      <c r="DG48" s="71"/>
      <c r="DH48" s="50"/>
      <c r="DI48" s="50"/>
      <c r="DJ48" s="50"/>
      <c r="DK48" s="105"/>
      <c r="DL48" s="71"/>
      <c r="DM48" s="50"/>
      <c r="DN48" s="50"/>
      <c r="DO48" s="105"/>
      <c r="DP48" s="71"/>
      <c r="DQ48" s="50"/>
      <c r="DR48" s="50"/>
      <c r="DS48" s="105"/>
      <c r="DT48" s="71"/>
      <c r="DU48" s="50"/>
      <c r="DV48" s="50"/>
      <c r="DW48" s="50"/>
      <c r="DX48" s="105"/>
      <c r="DY48" s="71"/>
      <c r="DZ48" s="50"/>
      <c r="EA48" s="50"/>
      <c r="EB48" s="50"/>
    </row>
    <row r="49" spans="2:132" ht="18" customHeight="1" x14ac:dyDescent="0.35">
      <c r="B49" s="238"/>
      <c r="C49" s="239"/>
      <c r="D49" s="8"/>
      <c r="E49" s="226"/>
      <c r="F49" s="230"/>
      <c r="G49" s="223"/>
      <c r="H49" s="10"/>
      <c r="K49" s="5"/>
      <c r="P49" s="18"/>
      <c r="Q49" s="19"/>
      <c r="R49" s="19"/>
      <c r="S49" s="20"/>
      <c r="T49" s="18"/>
      <c r="U49" s="19"/>
      <c r="V49" s="19"/>
      <c r="W49" s="20"/>
      <c r="X49" s="18"/>
      <c r="Y49" s="19"/>
      <c r="Z49" s="19"/>
      <c r="AA49" s="38"/>
      <c r="AB49" s="20"/>
      <c r="AC49" s="18"/>
      <c r="AD49" s="19"/>
      <c r="AE49" s="19"/>
      <c r="AF49" s="20"/>
      <c r="AG49" s="18"/>
      <c r="AH49" s="19"/>
      <c r="AI49" s="19"/>
      <c r="AJ49" s="20"/>
      <c r="AK49" s="18"/>
      <c r="AL49" s="19"/>
      <c r="AM49" s="19"/>
      <c r="AN49" s="19"/>
      <c r="AO49" s="20"/>
      <c r="AP49" s="18"/>
      <c r="AQ49" s="19"/>
      <c r="AR49" s="19"/>
      <c r="AS49" s="20"/>
      <c r="AT49" s="49"/>
      <c r="AU49" s="50"/>
      <c r="AV49" s="50"/>
      <c r="AW49" s="55"/>
      <c r="AX49" s="62"/>
      <c r="AY49" s="50"/>
      <c r="AZ49" s="50"/>
      <c r="BA49" s="63"/>
      <c r="BB49" s="58"/>
      <c r="BC49" s="50"/>
      <c r="BD49" s="50"/>
      <c r="BE49" s="70"/>
      <c r="BF49" s="71"/>
      <c r="BG49" s="50"/>
      <c r="BH49" s="50"/>
      <c r="BI49" s="50"/>
      <c r="BJ49" s="55"/>
      <c r="BK49" s="62"/>
      <c r="BL49" s="50"/>
      <c r="BM49" s="50"/>
      <c r="BN49" s="63"/>
      <c r="BO49" s="58"/>
      <c r="BP49" s="50"/>
      <c r="BQ49" s="50"/>
      <c r="BR49" s="55"/>
      <c r="BS49" s="62"/>
      <c r="BT49" s="50"/>
      <c r="BU49" s="50"/>
      <c r="BV49" s="50"/>
      <c r="BW49" s="70"/>
      <c r="BX49" s="71"/>
      <c r="BY49" s="50"/>
      <c r="BZ49" s="50"/>
      <c r="CA49" s="50"/>
      <c r="CB49" s="50"/>
      <c r="CC49" s="71"/>
      <c r="CD49" s="50"/>
      <c r="CE49" s="50"/>
      <c r="CF49" s="50"/>
      <c r="CG49" s="71"/>
      <c r="CH49" s="50"/>
      <c r="CI49" s="50"/>
      <c r="CJ49" s="50"/>
      <c r="CK49" s="50"/>
      <c r="CL49" s="71"/>
      <c r="CM49" s="50"/>
      <c r="CN49" s="50"/>
      <c r="CO49" s="105"/>
      <c r="CP49" s="71"/>
      <c r="CQ49" s="50"/>
      <c r="CR49" s="50"/>
      <c r="CS49" s="105"/>
      <c r="CT49" s="71"/>
      <c r="CU49" s="58"/>
      <c r="CV49" s="50"/>
      <c r="CW49" s="50"/>
      <c r="CX49" s="105"/>
      <c r="CY49" s="71"/>
      <c r="CZ49" s="50"/>
      <c r="DA49" s="50"/>
      <c r="DB49" s="105"/>
      <c r="DC49" s="71"/>
      <c r="DD49" s="50"/>
      <c r="DE49" s="50"/>
      <c r="DF49" s="105"/>
      <c r="DG49" s="71"/>
      <c r="DH49" s="50"/>
      <c r="DI49" s="50"/>
      <c r="DJ49" s="50"/>
      <c r="DK49" s="105"/>
      <c r="DL49" s="71"/>
      <c r="DM49" s="50"/>
      <c r="DN49" s="50"/>
      <c r="DO49" s="105"/>
      <c r="DP49" s="71"/>
      <c r="DQ49" s="50"/>
      <c r="DR49" s="50"/>
      <c r="DS49" s="105"/>
      <c r="DT49" s="71"/>
      <c r="DU49" s="50"/>
      <c r="DV49" s="50"/>
      <c r="DW49" s="50"/>
      <c r="DX49" s="105"/>
      <c r="DY49" s="71"/>
      <c r="DZ49" s="50"/>
      <c r="EA49" s="50"/>
      <c r="EB49" s="50"/>
    </row>
    <row r="50" spans="2:132" ht="18" customHeight="1" x14ac:dyDescent="0.35">
      <c r="B50" s="238"/>
      <c r="C50" s="239"/>
      <c r="D50" s="8"/>
      <c r="E50" s="226"/>
      <c r="F50" s="230"/>
      <c r="G50" s="223"/>
      <c r="H50" s="10"/>
      <c r="K50" s="5"/>
      <c r="P50" s="18"/>
      <c r="Q50" s="19"/>
      <c r="R50" s="19"/>
      <c r="S50" s="20"/>
      <c r="T50" s="18"/>
      <c r="U50" s="19"/>
      <c r="V50" s="19"/>
      <c r="W50" s="20"/>
      <c r="X50" s="18"/>
      <c r="Y50" s="19"/>
      <c r="Z50" s="19"/>
      <c r="AA50" s="38"/>
      <c r="AB50" s="20"/>
      <c r="AC50" s="18"/>
      <c r="AD50" s="19"/>
      <c r="AE50" s="19"/>
      <c r="AF50" s="20"/>
      <c r="AG50" s="18"/>
      <c r="AH50" s="19"/>
      <c r="AI50" s="19"/>
      <c r="AJ50" s="20"/>
      <c r="AK50" s="18"/>
      <c r="AL50" s="19"/>
      <c r="AM50" s="19"/>
      <c r="AN50" s="19"/>
      <c r="AO50" s="20"/>
      <c r="AP50" s="18"/>
      <c r="AQ50" s="19"/>
      <c r="AR50" s="19"/>
      <c r="AS50" s="20"/>
      <c r="AT50" s="49"/>
      <c r="AU50" s="50"/>
      <c r="AV50" s="50"/>
      <c r="AW50" s="55"/>
      <c r="AX50" s="62"/>
      <c r="AY50" s="50"/>
      <c r="AZ50" s="50"/>
      <c r="BA50" s="63"/>
      <c r="BB50" s="58"/>
      <c r="BC50" s="50"/>
      <c r="BD50" s="50"/>
      <c r="BE50" s="70"/>
      <c r="BF50" s="71"/>
      <c r="BG50" s="50"/>
      <c r="BH50" s="50"/>
      <c r="BI50" s="50"/>
      <c r="BJ50" s="55"/>
      <c r="BK50" s="62"/>
      <c r="BL50" s="50"/>
      <c r="BM50" s="50"/>
      <c r="BN50" s="63"/>
      <c r="BO50" s="58"/>
      <c r="BP50" s="50"/>
      <c r="BQ50" s="50"/>
      <c r="BR50" s="55"/>
      <c r="BS50" s="62"/>
      <c r="BT50" s="50"/>
      <c r="BU50" s="50"/>
      <c r="BV50" s="50"/>
      <c r="BW50" s="70"/>
      <c r="BX50" s="71"/>
      <c r="BY50" s="50"/>
      <c r="BZ50" s="50"/>
      <c r="CA50" s="50"/>
      <c r="CB50" s="50"/>
      <c r="CC50" s="71"/>
      <c r="CD50" s="50"/>
      <c r="CE50" s="50"/>
      <c r="CF50" s="50"/>
      <c r="CG50" s="71"/>
      <c r="CH50" s="50"/>
      <c r="CI50" s="50"/>
      <c r="CJ50" s="50"/>
      <c r="CK50" s="50"/>
      <c r="CL50" s="71"/>
      <c r="CM50" s="50"/>
      <c r="CN50" s="50"/>
      <c r="CO50" s="105"/>
      <c r="CP50" s="71"/>
      <c r="CQ50" s="50"/>
      <c r="CR50" s="50"/>
      <c r="CS50" s="105"/>
      <c r="CT50" s="71"/>
      <c r="CU50" s="58"/>
      <c r="CV50" s="50"/>
      <c r="CW50" s="50"/>
      <c r="CX50" s="105"/>
      <c r="CY50" s="71"/>
      <c r="CZ50" s="50"/>
      <c r="DA50" s="50"/>
      <c r="DB50" s="105"/>
      <c r="DC50" s="71"/>
      <c r="DD50" s="50"/>
      <c r="DE50" s="50"/>
      <c r="DF50" s="105"/>
      <c r="DG50" s="71"/>
      <c r="DH50" s="50"/>
      <c r="DI50" s="50"/>
      <c r="DJ50" s="50"/>
      <c r="DK50" s="105"/>
      <c r="DL50" s="71"/>
      <c r="DM50" s="50"/>
      <c r="DN50" s="50"/>
      <c r="DO50" s="105"/>
      <c r="DP50" s="71"/>
      <c r="DQ50" s="50"/>
      <c r="DR50" s="50"/>
      <c r="DS50" s="105"/>
      <c r="DT50" s="71"/>
      <c r="DU50" s="50"/>
      <c r="DV50" s="50"/>
      <c r="DW50" s="50"/>
      <c r="DX50" s="105"/>
      <c r="DY50" s="71"/>
      <c r="DZ50" s="50"/>
      <c r="EA50" s="50"/>
      <c r="EB50" s="50"/>
    </row>
    <row r="51" spans="2:132" ht="18" customHeight="1" x14ac:dyDescent="0.35">
      <c r="B51" s="238"/>
      <c r="C51" s="239"/>
      <c r="D51" s="8"/>
      <c r="E51" s="227"/>
      <c r="F51" s="231"/>
      <c r="G51" s="223"/>
      <c r="H51" s="10"/>
      <c r="K51" s="5"/>
      <c r="P51" s="18"/>
      <c r="Q51" s="19"/>
      <c r="R51" s="19"/>
      <c r="S51" s="20"/>
      <c r="T51" s="18"/>
      <c r="U51" s="19"/>
      <c r="V51" s="19"/>
      <c r="W51" s="20"/>
      <c r="X51" s="18"/>
      <c r="Y51" s="19"/>
      <c r="Z51" s="19"/>
      <c r="AA51" s="38"/>
      <c r="AB51" s="20"/>
      <c r="AC51" s="18"/>
      <c r="AD51" s="19"/>
      <c r="AE51" s="19"/>
      <c r="AF51" s="20"/>
      <c r="AG51" s="18"/>
      <c r="AH51" s="19"/>
      <c r="AI51" s="19"/>
      <c r="AJ51" s="20"/>
      <c r="AK51" s="18"/>
      <c r="AL51" s="19"/>
      <c r="AM51" s="19"/>
      <c r="AN51" s="19"/>
      <c r="AO51" s="20"/>
      <c r="AP51" s="18"/>
      <c r="AQ51" s="19"/>
      <c r="AR51" s="19"/>
      <c r="AS51" s="20"/>
      <c r="AT51" s="49"/>
      <c r="AU51" s="50"/>
      <c r="AV51" s="50"/>
      <c r="AW51" s="55"/>
      <c r="AX51" s="62"/>
      <c r="AY51" s="50"/>
      <c r="AZ51" s="50"/>
      <c r="BA51" s="63"/>
      <c r="BB51" s="58"/>
      <c r="BC51" s="50"/>
      <c r="BD51" s="50"/>
      <c r="BE51" s="70"/>
      <c r="BF51" s="71"/>
      <c r="BG51" s="50"/>
      <c r="BH51" s="50"/>
      <c r="BI51" s="50"/>
      <c r="BJ51" s="55"/>
      <c r="BK51" s="62"/>
      <c r="BL51" s="50"/>
      <c r="BM51" s="50"/>
      <c r="BN51" s="63"/>
      <c r="BO51" s="58"/>
      <c r="BP51" s="50"/>
      <c r="BQ51" s="50"/>
      <c r="BR51" s="55"/>
      <c r="BS51" s="62"/>
      <c r="BT51" s="50"/>
      <c r="BU51" s="50"/>
      <c r="BV51" s="50"/>
      <c r="BW51" s="70"/>
      <c r="BX51" s="71"/>
      <c r="BY51" s="50"/>
      <c r="BZ51" s="50"/>
      <c r="CA51" s="50"/>
      <c r="CB51" s="50"/>
      <c r="CC51" s="71"/>
      <c r="CD51" s="50"/>
      <c r="CE51" s="50"/>
      <c r="CF51" s="50"/>
      <c r="CG51" s="71"/>
      <c r="CH51" s="50"/>
      <c r="CI51" s="50"/>
      <c r="CJ51" s="50"/>
      <c r="CK51" s="50"/>
      <c r="CL51" s="71"/>
      <c r="CM51" s="50"/>
      <c r="CN51" s="50"/>
      <c r="CO51" s="105"/>
      <c r="CP51" s="71"/>
      <c r="CQ51" s="50"/>
      <c r="CR51" s="50"/>
      <c r="CS51" s="105"/>
      <c r="CT51" s="71"/>
      <c r="CU51" s="58"/>
      <c r="CV51" s="50"/>
      <c r="CW51" s="50"/>
      <c r="CX51" s="105"/>
      <c r="CY51" s="71"/>
      <c r="CZ51" s="50"/>
      <c r="DA51" s="50"/>
      <c r="DB51" s="105"/>
      <c r="DC51" s="71"/>
      <c r="DD51" s="50"/>
      <c r="DE51" s="50"/>
      <c r="DF51" s="105"/>
      <c r="DG51" s="71"/>
      <c r="DH51" s="50"/>
      <c r="DI51" s="50"/>
      <c r="DJ51" s="50"/>
      <c r="DK51" s="105"/>
      <c r="DL51" s="71"/>
      <c r="DM51" s="50"/>
      <c r="DN51" s="50"/>
      <c r="DO51" s="105"/>
      <c r="DP51" s="71"/>
      <c r="DQ51" s="50"/>
      <c r="DR51" s="50"/>
      <c r="DS51" s="105"/>
      <c r="DT51" s="71"/>
      <c r="DU51" s="50"/>
      <c r="DV51" s="50"/>
      <c r="DW51" s="50"/>
      <c r="DX51" s="105"/>
      <c r="DY51" s="71"/>
      <c r="DZ51" s="50"/>
      <c r="EA51" s="50"/>
      <c r="EB51" s="50"/>
    </row>
    <row r="52" spans="2:132" ht="18" customHeight="1" x14ac:dyDescent="0.35">
      <c r="B52" s="238"/>
      <c r="C52" s="239"/>
      <c r="D52" s="8"/>
      <c r="E52" s="227"/>
      <c r="F52" s="231"/>
      <c r="G52" s="223"/>
      <c r="H52" s="10"/>
      <c r="K52" s="5"/>
      <c r="P52" s="18"/>
      <c r="Q52" s="19"/>
      <c r="R52" s="19"/>
      <c r="S52" s="20"/>
      <c r="T52" s="18"/>
      <c r="U52" s="19"/>
      <c r="V52" s="19"/>
      <c r="W52" s="20"/>
      <c r="X52" s="18"/>
      <c r="Y52" s="19"/>
      <c r="Z52" s="19"/>
      <c r="AA52" s="38"/>
      <c r="AB52" s="20"/>
      <c r="AC52" s="18"/>
      <c r="AD52" s="19"/>
      <c r="AE52" s="19"/>
      <c r="AF52" s="20"/>
      <c r="AG52" s="18"/>
      <c r="AH52" s="19"/>
      <c r="AI52" s="19"/>
      <c r="AJ52" s="20"/>
      <c r="AK52" s="18"/>
      <c r="AL52" s="19"/>
      <c r="AM52" s="19"/>
      <c r="AN52" s="19"/>
      <c r="AO52" s="20"/>
      <c r="AP52" s="18"/>
      <c r="AQ52" s="19"/>
      <c r="AR52" s="19"/>
      <c r="AS52" s="20"/>
      <c r="AT52" s="49"/>
      <c r="AU52" s="50"/>
      <c r="AV52" s="50"/>
      <c r="AW52" s="55"/>
      <c r="AX52" s="62"/>
      <c r="AY52" s="50"/>
      <c r="AZ52" s="50"/>
      <c r="BA52" s="63"/>
      <c r="BB52" s="58"/>
      <c r="BC52" s="50"/>
      <c r="BD52" s="50"/>
      <c r="BE52" s="70"/>
      <c r="BF52" s="71"/>
      <c r="BG52" s="50"/>
      <c r="BH52" s="50"/>
      <c r="BI52" s="50"/>
      <c r="BJ52" s="55"/>
      <c r="BK52" s="62"/>
      <c r="BL52" s="50"/>
      <c r="BM52" s="50"/>
      <c r="BN52" s="63"/>
      <c r="BO52" s="58"/>
      <c r="BP52" s="50"/>
      <c r="BQ52" s="50"/>
      <c r="BR52" s="55"/>
      <c r="BS52" s="62"/>
      <c r="BT52" s="50"/>
      <c r="BU52" s="50"/>
      <c r="BV52" s="50"/>
      <c r="BW52" s="70"/>
      <c r="BX52" s="71"/>
      <c r="BY52" s="50"/>
      <c r="BZ52" s="50"/>
      <c r="CA52" s="50"/>
      <c r="CB52" s="50"/>
      <c r="CC52" s="71"/>
      <c r="CD52" s="50"/>
      <c r="CE52" s="50"/>
      <c r="CF52" s="50"/>
      <c r="CG52" s="71"/>
      <c r="CH52" s="50"/>
      <c r="CI52" s="50"/>
      <c r="CJ52" s="50"/>
      <c r="CK52" s="50"/>
      <c r="CL52" s="71"/>
      <c r="CM52" s="50"/>
      <c r="CN52" s="50"/>
      <c r="CO52" s="105"/>
      <c r="CP52" s="71"/>
      <c r="CQ52" s="50"/>
      <c r="CR52" s="50"/>
      <c r="CS52" s="105"/>
      <c r="CT52" s="71"/>
      <c r="CU52" s="58"/>
      <c r="CV52" s="50"/>
      <c r="CW52" s="50"/>
      <c r="CX52" s="105"/>
      <c r="CY52" s="71"/>
      <c r="CZ52" s="50"/>
      <c r="DA52" s="50"/>
      <c r="DB52" s="105"/>
      <c r="DC52" s="71"/>
      <c r="DD52" s="50"/>
      <c r="DE52" s="50"/>
      <c r="DF52" s="105"/>
      <c r="DG52" s="71"/>
      <c r="DH52" s="50"/>
      <c r="DI52" s="50"/>
      <c r="DJ52" s="50"/>
      <c r="DK52" s="105"/>
      <c r="DL52" s="71"/>
      <c r="DM52" s="50"/>
      <c r="DN52" s="50"/>
      <c r="DO52" s="105"/>
      <c r="DP52" s="71"/>
      <c r="DQ52" s="50"/>
      <c r="DR52" s="50"/>
      <c r="DS52" s="105"/>
      <c r="DT52" s="71"/>
      <c r="DU52" s="50"/>
      <c r="DV52" s="50"/>
      <c r="DW52" s="50"/>
      <c r="DX52" s="105"/>
      <c r="DY52" s="71"/>
      <c r="DZ52" s="50"/>
      <c r="EA52" s="50"/>
      <c r="EB52" s="50"/>
    </row>
    <row r="53" spans="2:132" ht="18" customHeight="1" x14ac:dyDescent="0.35">
      <c r="B53" s="238"/>
      <c r="C53" s="239"/>
      <c r="D53" s="8"/>
      <c r="E53" s="227"/>
      <c r="F53" s="231"/>
      <c r="G53" s="223"/>
      <c r="H53" s="10"/>
      <c r="K53" s="5"/>
      <c r="P53" s="18"/>
      <c r="Q53" s="19"/>
      <c r="R53" s="19"/>
      <c r="S53" s="20"/>
      <c r="T53" s="18"/>
      <c r="U53" s="19"/>
      <c r="V53" s="19"/>
      <c r="W53" s="20"/>
      <c r="X53" s="18"/>
      <c r="Y53" s="19"/>
      <c r="Z53" s="19"/>
      <c r="AA53" s="38"/>
      <c r="AB53" s="20"/>
      <c r="AC53" s="18"/>
      <c r="AD53" s="19"/>
      <c r="AE53" s="19"/>
      <c r="AF53" s="20"/>
      <c r="AG53" s="18"/>
      <c r="AH53" s="19"/>
      <c r="AI53" s="19"/>
      <c r="AJ53" s="20"/>
      <c r="AK53" s="18"/>
      <c r="AL53" s="19"/>
      <c r="AM53" s="19"/>
      <c r="AN53" s="19"/>
      <c r="AO53" s="20"/>
      <c r="AP53" s="18"/>
      <c r="AQ53" s="19"/>
      <c r="AR53" s="19"/>
      <c r="AS53" s="20"/>
      <c r="AT53" s="49"/>
      <c r="AU53" s="50"/>
      <c r="AV53" s="50"/>
      <c r="AW53" s="55"/>
      <c r="AX53" s="62"/>
      <c r="AY53" s="50"/>
      <c r="AZ53" s="50"/>
      <c r="BA53" s="63"/>
      <c r="BB53" s="58"/>
      <c r="BC53" s="50"/>
      <c r="BD53" s="50"/>
      <c r="BE53" s="70"/>
      <c r="BF53" s="71"/>
      <c r="BG53" s="50"/>
      <c r="BH53" s="50"/>
      <c r="BI53" s="50"/>
      <c r="BJ53" s="55"/>
      <c r="BK53" s="62"/>
      <c r="BL53" s="50"/>
      <c r="BM53" s="50"/>
      <c r="BN53" s="63"/>
      <c r="BO53" s="58"/>
      <c r="BP53" s="50"/>
      <c r="BQ53" s="50"/>
      <c r="BR53" s="55"/>
      <c r="BS53" s="62"/>
      <c r="BT53" s="50"/>
      <c r="BU53" s="50"/>
      <c r="BV53" s="50"/>
      <c r="BW53" s="70"/>
      <c r="BX53" s="71"/>
      <c r="BY53" s="50"/>
      <c r="BZ53" s="50"/>
      <c r="CA53" s="50"/>
      <c r="CB53" s="50"/>
      <c r="CC53" s="71"/>
      <c r="CD53" s="50"/>
      <c r="CE53" s="50"/>
      <c r="CF53" s="50"/>
      <c r="CG53" s="71"/>
      <c r="CH53" s="50"/>
      <c r="CI53" s="50"/>
      <c r="CJ53" s="50"/>
      <c r="CK53" s="50"/>
      <c r="CL53" s="71"/>
      <c r="CM53" s="50"/>
      <c r="CN53" s="50"/>
      <c r="CO53" s="105"/>
      <c r="CP53" s="71"/>
      <c r="CQ53" s="50"/>
      <c r="CR53" s="50"/>
      <c r="CS53" s="105"/>
      <c r="CT53" s="71"/>
      <c r="CU53" s="58"/>
      <c r="CV53" s="50"/>
      <c r="CW53" s="50"/>
      <c r="CX53" s="105"/>
      <c r="CY53" s="71"/>
      <c r="CZ53" s="50"/>
      <c r="DA53" s="50"/>
      <c r="DB53" s="105"/>
      <c r="DC53" s="71"/>
      <c r="DD53" s="50"/>
      <c r="DE53" s="50"/>
      <c r="DF53" s="105"/>
      <c r="DG53" s="71"/>
      <c r="DH53" s="50"/>
      <c r="DI53" s="50"/>
      <c r="DJ53" s="50"/>
      <c r="DK53" s="105"/>
      <c r="DL53" s="71"/>
      <c r="DM53" s="50"/>
      <c r="DN53" s="50"/>
      <c r="DO53" s="105"/>
      <c r="DP53" s="71"/>
      <c r="DQ53" s="50"/>
      <c r="DR53" s="50"/>
      <c r="DS53" s="105"/>
      <c r="DT53" s="71"/>
      <c r="DU53" s="50"/>
      <c r="DV53" s="50"/>
      <c r="DW53" s="50"/>
      <c r="DX53" s="105"/>
      <c r="DY53" s="71"/>
      <c r="DZ53" s="50"/>
      <c r="EA53" s="50"/>
      <c r="EB53" s="50"/>
    </row>
    <row r="54" spans="2:132" ht="18" customHeight="1" x14ac:dyDescent="0.35">
      <c r="B54" s="238"/>
      <c r="C54" s="239"/>
      <c r="D54" s="8"/>
      <c r="E54" s="227"/>
      <c r="F54" s="231"/>
      <c r="G54" s="223"/>
      <c r="H54" s="10"/>
      <c r="K54" s="5"/>
      <c r="P54" s="18"/>
      <c r="Q54" s="19"/>
      <c r="R54" s="19"/>
      <c r="S54" s="20"/>
      <c r="T54" s="18"/>
      <c r="U54" s="19"/>
      <c r="V54" s="19"/>
      <c r="W54" s="20"/>
      <c r="X54" s="18"/>
      <c r="Y54" s="19"/>
      <c r="Z54" s="19"/>
      <c r="AA54" s="38"/>
      <c r="AB54" s="20"/>
      <c r="AC54" s="18"/>
      <c r="AD54" s="19"/>
      <c r="AE54" s="19"/>
      <c r="AF54" s="20"/>
      <c r="AG54" s="18"/>
      <c r="AH54" s="19"/>
      <c r="AI54" s="19"/>
      <c r="AJ54" s="20"/>
      <c r="AK54" s="18"/>
      <c r="AL54" s="19"/>
      <c r="AM54" s="19"/>
      <c r="AN54" s="19"/>
      <c r="AO54" s="20"/>
      <c r="AP54" s="18"/>
      <c r="AQ54" s="19"/>
      <c r="AR54" s="19"/>
      <c r="AS54" s="20"/>
      <c r="AT54" s="49"/>
      <c r="AU54" s="50"/>
      <c r="AV54" s="50"/>
      <c r="AW54" s="55"/>
      <c r="AX54" s="62"/>
      <c r="AY54" s="50"/>
      <c r="AZ54" s="50"/>
      <c r="BA54" s="63"/>
      <c r="BB54" s="58"/>
      <c r="BC54" s="50"/>
      <c r="BD54" s="50"/>
      <c r="BE54" s="70"/>
      <c r="BF54" s="71"/>
      <c r="BG54" s="50"/>
      <c r="BH54" s="50"/>
      <c r="BI54" s="50"/>
      <c r="BJ54" s="55"/>
      <c r="BK54" s="62"/>
      <c r="BL54" s="50"/>
      <c r="BM54" s="50"/>
      <c r="BN54" s="63"/>
      <c r="BO54" s="58"/>
      <c r="BP54" s="50"/>
      <c r="BQ54" s="50"/>
      <c r="BR54" s="55"/>
      <c r="BS54" s="62"/>
      <c r="BT54" s="50"/>
      <c r="BU54" s="50"/>
      <c r="BV54" s="50"/>
      <c r="BW54" s="70"/>
      <c r="BX54" s="71"/>
      <c r="BY54" s="50"/>
      <c r="BZ54" s="50"/>
      <c r="CA54" s="50"/>
      <c r="CB54" s="50"/>
      <c r="CC54" s="71"/>
      <c r="CD54" s="50"/>
      <c r="CE54" s="50"/>
      <c r="CF54" s="50"/>
      <c r="CG54" s="71"/>
      <c r="CH54" s="50"/>
      <c r="CI54" s="50"/>
      <c r="CJ54" s="50"/>
      <c r="CK54" s="50"/>
      <c r="CL54" s="71"/>
      <c r="CM54" s="50"/>
      <c r="CN54" s="50"/>
      <c r="CO54" s="105"/>
      <c r="CP54" s="71"/>
      <c r="CQ54" s="50"/>
      <c r="CR54" s="50"/>
      <c r="CS54" s="105"/>
      <c r="CT54" s="71"/>
      <c r="CU54" s="58"/>
      <c r="CV54" s="50"/>
      <c r="CW54" s="50"/>
      <c r="CX54" s="105"/>
      <c r="CY54" s="71"/>
      <c r="CZ54" s="50"/>
      <c r="DA54" s="50"/>
      <c r="DB54" s="105"/>
      <c r="DC54" s="71"/>
      <c r="DD54" s="50"/>
      <c r="DE54" s="50"/>
      <c r="DF54" s="105"/>
      <c r="DG54" s="71"/>
      <c r="DH54" s="50"/>
      <c r="DI54" s="50"/>
      <c r="DJ54" s="50"/>
      <c r="DK54" s="105"/>
      <c r="DL54" s="71"/>
      <c r="DM54" s="50"/>
      <c r="DN54" s="50"/>
      <c r="DO54" s="105"/>
      <c r="DP54" s="71"/>
      <c r="DQ54" s="50"/>
      <c r="DR54" s="50"/>
      <c r="DS54" s="105"/>
      <c r="DT54" s="71"/>
      <c r="DU54" s="50"/>
      <c r="DV54" s="50"/>
      <c r="DW54" s="50"/>
      <c r="DX54" s="105"/>
      <c r="DY54" s="71"/>
      <c r="DZ54" s="50"/>
      <c r="EA54" s="50"/>
      <c r="EB54" s="50"/>
    </row>
    <row r="55" spans="2:132" ht="18" customHeight="1" x14ac:dyDescent="0.35">
      <c r="B55" s="238"/>
      <c r="C55" s="239"/>
      <c r="D55" s="8"/>
      <c r="E55" s="227"/>
      <c r="F55" s="231"/>
      <c r="G55" s="223"/>
      <c r="H55" s="10"/>
      <c r="K55" s="5"/>
      <c r="P55" s="18"/>
      <c r="Q55" s="19"/>
      <c r="R55" s="19"/>
      <c r="S55" s="20"/>
      <c r="T55" s="18"/>
      <c r="U55" s="19"/>
      <c r="V55" s="19"/>
      <c r="W55" s="20"/>
      <c r="X55" s="18"/>
      <c r="Y55" s="19"/>
      <c r="Z55" s="19"/>
      <c r="AA55" s="38"/>
      <c r="AB55" s="20"/>
      <c r="AC55" s="18"/>
      <c r="AD55" s="19"/>
      <c r="AE55" s="19"/>
      <c r="AF55" s="20"/>
      <c r="AG55" s="18"/>
      <c r="AH55" s="19"/>
      <c r="AI55" s="19"/>
      <c r="AJ55" s="20"/>
      <c r="AK55" s="18"/>
      <c r="AL55" s="19"/>
      <c r="AM55" s="19"/>
      <c r="AN55" s="19"/>
      <c r="AO55" s="20"/>
      <c r="AP55" s="18"/>
      <c r="AQ55" s="19"/>
      <c r="AR55" s="19"/>
      <c r="AS55" s="20"/>
      <c r="AT55" s="49"/>
      <c r="AU55" s="50"/>
      <c r="AV55" s="50"/>
      <c r="AW55" s="55"/>
      <c r="AX55" s="62"/>
      <c r="AY55" s="50"/>
      <c r="AZ55" s="50"/>
      <c r="BA55" s="63"/>
      <c r="BB55" s="58"/>
      <c r="BC55" s="50"/>
      <c r="BD55" s="50"/>
      <c r="BE55" s="70"/>
      <c r="BF55" s="71"/>
      <c r="BG55" s="50"/>
      <c r="BH55" s="50"/>
      <c r="BI55" s="50"/>
      <c r="BJ55" s="55"/>
      <c r="BK55" s="62"/>
      <c r="BL55" s="50"/>
      <c r="BM55" s="50"/>
      <c r="BN55" s="63"/>
      <c r="BO55" s="58"/>
      <c r="BP55" s="50"/>
      <c r="BQ55" s="50"/>
      <c r="BR55" s="55"/>
      <c r="BS55" s="62"/>
      <c r="BT55" s="50"/>
      <c r="BU55" s="50"/>
      <c r="BV55" s="50"/>
      <c r="BW55" s="70"/>
      <c r="BX55" s="71"/>
      <c r="BY55" s="50"/>
      <c r="BZ55" s="50"/>
      <c r="CA55" s="50"/>
      <c r="CB55" s="50"/>
      <c r="CC55" s="71"/>
      <c r="CD55" s="50"/>
      <c r="CE55" s="50"/>
      <c r="CF55" s="50"/>
      <c r="CG55" s="71"/>
      <c r="CH55" s="50"/>
      <c r="CI55" s="50"/>
      <c r="CJ55" s="50"/>
      <c r="CK55" s="50"/>
      <c r="CL55" s="71"/>
      <c r="CM55" s="50"/>
      <c r="CN55" s="50"/>
      <c r="CO55" s="105"/>
      <c r="CP55" s="71"/>
      <c r="CQ55" s="50"/>
      <c r="CR55" s="50"/>
      <c r="CS55" s="105"/>
      <c r="CT55" s="71"/>
      <c r="CU55" s="58"/>
      <c r="CV55" s="50"/>
      <c r="CW55" s="50"/>
      <c r="CX55" s="105"/>
      <c r="CY55" s="71"/>
      <c r="CZ55" s="50"/>
      <c r="DA55" s="50"/>
      <c r="DB55" s="105"/>
      <c r="DC55" s="71"/>
      <c r="DD55" s="50"/>
      <c r="DE55" s="50"/>
      <c r="DF55" s="105"/>
      <c r="DG55" s="71"/>
      <c r="DH55" s="50"/>
      <c r="DI55" s="50"/>
      <c r="DJ55" s="50"/>
      <c r="DK55" s="105"/>
      <c r="DL55" s="71"/>
      <c r="DM55" s="50"/>
      <c r="DN55" s="50"/>
      <c r="DO55" s="105"/>
      <c r="DP55" s="71"/>
      <c r="DQ55" s="50"/>
      <c r="DR55" s="50"/>
      <c r="DS55" s="105"/>
      <c r="DT55" s="71"/>
      <c r="DU55" s="50"/>
      <c r="DV55" s="50"/>
      <c r="DW55" s="50"/>
      <c r="DX55" s="105"/>
      <c r="DY55" s="71"/>
      <c r="DZ55" s="50"/>
      <c r="EA55" s="50"/>
      <c r="EB55" s="50"/>
    </row>
    <row r="56" spans="2:132" ht="18" customHeight="1" x14ac:dyDescent="0.35">
      <c r="B56" s="238"/>
      <c r="C56" s="239"/>
      <c r="D56" s="8"/>
      <c r="E56" s="227"/>
      <c r="F56" s="231"/>
      <c r="G56" s="223"/>
      <c r="H56" s="10"/>
      <c r="K56" s="5"/>
      <c r="P56" s="18"/>
      <c r="Q56" s="19"/>
      <c r="R56" s="19"/>
      <c r="S56" s="20"/>
      <c r="T56" s="18"/>
      <c r="U56" s="19"/>
      <c r="V56" s="19"/>
      <c r="W56" s="20"/>
      <c r="X56" s="18"/>
      <c r="Y56" s="19"/>
      <c r="Z56" s="19"/>
      <c r="AA56" s="38"/>
      <c r="AB56" s="20"/>
      <c r="AC56" s="18"/>
      <c r="AD56" s="19"/>
      <c r="AE56" s="19"/>
      <c r="AF56" s="20"/>
      <c r="AG56" s="18"/>
      <c r="AH56" s="19"/>
      <c r="AI56" s="19"/>
      <c r="AJ56" s="20"/>
      <c r="AK56" s="18"/>
      <c r="AL56" s="19"/>
      <c r="AM56" s="19"/>
      <c r="AN56" s="19"/>
      <c r="AO56" s="20"/>
      <c r="AP56" s="18"/>
      <c r="AQ56" s="19"/>
      <c r="AR56" s="19"/>
      <c r="AS56" s="20"/>
      <c r="AT56" s="49"/>
      <c r="AU56" s="50"/>
      <c r="AV56" s="50"/>
      <c r="AW56" s="55"/>
      <c r="AX56" s="62"/>
      <c r="AY56" s="50"/>
      <c r="AZ56" s="50"/>
      <c r="BA56" s="63"/>
      <c r="BB56" s="58"/>
      <c r="BC56" s="50"/>
      <c r="BD56" s="50"/>
      <c r="BE56" s="70"/>
      <c r="BF56" s="71"/>
      <c r="BG56" s="50"/>
      <c r="BH56" s="50"/>
      <c r="BI56" s="50"/>
      <c r="BJ56" s="55"/>
      <c r="BK56" s="62"/>
      <c r="BL56" s="50"/>
      <c r="BM56" s="50"/>
      <c r="BN56" s="63"/>
      <c r="BO56" s="58"/>
      <c r="BP56" s="50"/>
      <c r="BQ56" s="50"/>
      <c r="BR56" s="55"/>
      <c r="BS56" s="62"/>
      <c r="BT56" s="50"/>
      <c r="BU56" s="50"/>
      <c r="BV56" s="50"/>
      <c r="BW56" s="70"/>
      <c r="BX56" s="71"/>
      <c r="BY56" s="50"/>
      <c r="BZ56" s="50"/>
      <c r="CA56" s="50"/>
      <c r="CB56" s="50"/>
      <c r="CC56" s="71"/>
      <c r="CD56" s="50"/>
      <c r="CE56" s="50"/>
      <c r="CF56" s="50"/>
      <c r="CG56" s="71"/>
      <c r="CH56" s="50"/>
      <c r="CI56" s="50"/>
      <c r="CJ56" s="50"/>
      <c r="CK56" s="50"/>
      <c r="CL56" s="71"/>
      <c r="CM56" s="50"/>
      <c r="CN56" s="50"/>
      <c r="CO56" s="105"/>
      <c r="CP56" s="71"/>
      <c r="CQ56" s="50"/>
      <c r="CR56" s="50"/>
      <c r="CS56" s="105"/>
      <c r="CT56" s="71"/>
      <c r="CU56" s="58"/>
      <c r="CV56" s="50"/>
      <c r="CW56" s="50"/>
      <c r="CX56" s="105"/>
      <c r="CY56" s="71"/>
      <c r="CZ56" s="50"/>
      <c r="DA56" s="50"/>
      <c r="DB56" s="105"/>
      <c r="DC56" s="71"/>
      <c r="DD56" s="50"/>
      <c r="DE56" s="50"/>
      <c r="DF56" s="105"/>
      <c r="DG56" s="71"/>
      <c r="DH56" s="50"/>
      <c r="DI56" s="50"/>
      <c r="DJ56" s="50"/>
      <c r="DK56" s="105"/>
      <c r="DL56" s="71"/>
      <c r="DM56" s="50"/>
      <c r="DN56" s="50"/>
      <c r="DO56" s="105"/>
      <c r="DP56" s="71"/>
      <c r="DQ56" s="50"/>
      <c r="DR56" s="50"/>
      <c r="DS56" s="105"/>
      <c r="DT56" s="71"/>
      <c r="DU56" s="50"/>
      <c r="DV56" s="50"/>
      <c r="DW56" s="50"/>
      <c r="DX56" s="105"/>
      <c r="DY56" s="71"/>
      <c r="DZ56" s="50"/>
      <c r="EA56" s="50"/>
      <c r="EB56" s="50"/>
    </row>
    <row r="57" spans="2:132" ht="18" customHeight="1" thickBot="1" x14ac:dyDescent="0.4">
      <c r="B57" s="238"/>
      <c r="C57" s="240"/>
      <c r="D57" s="13"/>
      <c r="E57" s="228"/>
      <c r="F57" s="232"/>
      <c r="G57" s="224"/>
      <c r="H57" s="15"/>
      <c r="I57" s="16"/>
      <c r="J57" s="16"/>
      <c r="K57" s="17"/>
      <c r="L57" s="16"/>
      <c r="M57" s="16"/>
      <c r="N57" s="16"/>
      <c r="O57" s="16"/>
      <c r="P57" s="27"/>
      <c r="Q57" s="28"/>
      <c r="R57" s="28"/>
      <c r="S57" s="29"/>
      <c r="T57" s="27"/>
      <c r="U57" s="28"/>
      <c r="V57" s="28"/>
      <c r="W57" s="29"/>
      <c r="X57" s="27"/>
      <c r="Y57" s="28"/>
      <c r="Z57" s="28"/>
      <c r="AA57" s="41"/>
      <c r="AB57" s="29"/>
      <c r="AC57" s="27"/>
      <c r="AD57" s="28"/>
      <c r="AE57" s="28"/>
      <c r="AF57" s="29"/>
      <c r="AG57" s="27"/>
      <c r="AH57" s="28"/>
      <c r="AI57" s="28"/>
      <c r="AJ57" s="29"/>
      <c r="AK57" s="27"/>
      <c r="AL57" s="28"/>
      <c r="AM57" s="28"/>
      <c r="AN57" s="28"/>
      <c r="AO57" s="29"/>
      <c r="AP57" s="27"/>
      <c r="AQ57" s="28"/>
      <c r="AR57" s="28"/>
      <c r="AS57" s="29"/>
      <c r="AT57" s="51"/>
      <c r="AU57" s="52"/>
      <c r="AV57" s="52"/>
      <c r="AW57" s="56"/>
      <c r="AX57" s="64"/>
      <c r="AY57" s="52"/>
      <c r="AZ57" s="52"/>
      <c r="BA57" s="65"/>
      <c r="BB57" s="59"/>
      <c r="BC57" s="52"/>
      <c r="BD57" s="52"/>
      <c r="BE57" s="72"/>
      <c r="BF57" s="73"/>
      <c r="BG57" s="52"/>
      <c r="BH57" s="52"/>
      <c r="BI57" s="52"/>
      <c r="BJ57" s="56"/>
      <c r="BK57" s="64"/>
      <c r="BL57" s="52"/>
      <c r="BM57" s="52"/>
      <c r="BN57" s="65"/>
      <c r="BO57" s="59"/>
      <c r="BP57" s="52"/>
      <c r="BQ57" s="52"/>
      <c r="BR57" s="56"/>
      <c r="BS57" s="64"/>
      <c r="BT57" s="52"/>
      <c r="BU57" s="52"/>
      <c r="BV57" s="52"/>
      <c r="BW57" s="72"/>
      <c r="BX57" s="73"/>
      <c r="BY57" s="52"/>
      <c r="BZ57" s="52"/>
      <c r="CA57" s="52"/>
      <c r="CB57" s="52"/>
      <c r="CC57" s="73"/>
      <c r="CD57" s="52"/>
      <c r="CE57" s="52"/>
      <c r="CF57" s="52"/>
      <c r="CG57" s="73"/>
      <c r="CH57" s="52"/>
      <c r="CI57" s="52"/>
      <c r="CJ57" s="52"/>
      <c r="CK57" s="52"/>
      <c r="CL57" s="73"/>
      <c r="CM57" s="52"/>
      <c r="CN57" s="52"/>
      <c r="CO57" s="106"/>
      <c r="CP57" s="73"/>
      <c r="CQ57" s="52"/>
      <c r="CR57" s="52"/>
      <c r="CS57" s="106"/>
      <c r="CT57" s="73"/>
      <c r="CU57" s="59"/>
      <c r="CV57" s="52"/>
      <c r="CW57" s="52"/>
      <c r="CX57" s="106"/>
      <c r="CY57" s="73"/>
      <c r="CZ57" s="52"/>
      <c r="DA57" s="52"/>
      <c r="DB57" s="106"/>
      <c r="DC57" s="73"/>
      <c r="DD57" s="52"/>
      <c r="DE57" s="52"/>
      <c r="DF57" s="106"/>
      <c r="DG57" s="73"/>
      <c r="DH57" s="52"/>
      <c r="DI57" s="52"/>
      <c r="DJ57" s="52"/>
      <c r="DK57" s="106"/>
      <c r="DL57" s="73"/>
      <c r="DM57" s="52"/>
      <c r="DN57" s="52"/>
      <c r="DO57" s="106"/>
      <c r="DP57" s="73"/>
      <c r="DQ57" s="52"/>
      <c r="DR57" s="52"/>
      <c r="DS57" s="106"/>
      <c r="DT57" s="73"/>
      <c r="DU57" s="52"/>
      <c r="DV57" s="52"/>
      <c r="DW57" s="52"/>
      <c r="DX57" s="106"/>
      <c r="DY57" s="73"/>
      <c r="DZ57" s="52"/>
      <c r="EA57" s="52"/>
      <c r="EB57" s="52"/>
    </row>
    <row r="58" spans="2:132" ht="18" customHeight="1" x14ac:dyDescent="0.35">
      <c r="B58" s="238"/>
      <c r="C58" s="239" t="s">
        <v>69</v>
      </c>
      <c r="D58" s="8"/>
      <c r="E58" s="233" t="s">
        <v>96</v>
      </c>
      <c r="F58" s="233" t="s">
        <v>100</v>
      </c>
      <c r="G58" s="222" t="s">
        <v>68</v>
      </c>
      <c r="H58" s="10"/>
      <c r="K58" s="5"/>
      <c r="P58" s="18"/>
      <c r="Q58" s="19"/>
      <c r="R58" s="19"/>
      <c r="S58" s="20"/>
      <c r="T58" s="18"/>
      <c r="U58" s="19"/>
      <c r="V58" s="19"/>
      <c r="W58" s="20"/>
      <c r="X58" s="18"/>
      <c r="Y58" s="19"/>
      <c r="Z58" s="19"/>
      <c r="AA58" s="38"/>
      <c r="AB58" s="20"/>
      <c r="AC58" s="18"/>
      <c r="AD58" s="19"/>
      <c r="AE58" s="19"/>
      <c r="AF58" s="20"/>
      <c r="AG58" s="18"/>
      <c r="AH58" s="19"/>
      <c r="AI58" s="19"/>
      <c r="AJ58" s="20"/>
      <c r="AK58" s="18"/>
      <c r="AL58" s="19"/>
      <c r="AM58" s="19"/>
      <c r="AN58" s="19"/>
      <c r="AO58" s="20"/>
      <c r="AP58" s="18"/>
      <c r="AQ58" s="19"/>
      <c r="AR58" s="19"/>
      <c r="AS58" s="20"/>
      <c r="AT58" s="49"/>
      <c r="AU58" s="50"/>
      <c r="AV58" s="50"/>
      <c r="AW58" s="55"/>
      <c r="AX58" s="62"/>
      <c r="AY58" s="50"/>
      <c r="AZ58" s="50"/>
      <c r="BA58" s="63"/>
      <c r="BB58" s="58"/>
      <c r="BC58" s="50"/>
      <c r="BD58" s="50"/>
      <c r="BE58" s="70"/>
      <c r="BF58" s="71"/>
      <c r="BG58" s="50"/>
      <c r="BH58" s="50"/>
      <c r="BI58" s="50"/>
      <c r="BJ58" s="55"/>
      <c r="BK58" s="62"/>
      <c r="BL58" s="50"/>
      <c r="BM58" s="50"/>
      <c r="BN58" s="63"/>
      <c r="BO58" s="58"/>
      <c r="BP58" s="50"/>
      <c r="BQ58" s="50"/>
      <c r="BR58" s="55"/>
      <c r="BS58" s="62"/>
      <c r="BT58" s="50"/>
      <c r="BU58" s="50"/>
      <c r="BV58" s="50"/>
      <c r="BW58" s="70"/>
      <c r="BX58" s="71"/>
      <c r="BY58" s="50"/>
      <c r="BZ58" s="50"/>
      <c r="CA58" s="50"/>
      <c r="CB58" s="50"/>
      <c r="CC58" s="71"/>
      <c r="CD58" s="50"/>
      <c r="CE58" s="50"/>
      <c r="CF58" s="50"/>
      <c r="CG58" s="71"/>
      <c r="CH58" s="50"/>
      <c r="CI58" s="50"/>
      <c r="CJ58" s="50"/>
      <c r="CK58" s="50"/>
      <c r="CL58" s="71"/>
      <c r="CM58" s="50"/>
      <c r="CN58" s="50"/>
      <c r="CO58" s="105"/>
      <c r="CP58" s="71"/>
      <c r="CQ58" s="50"/>
      <c r="CR58" s="50"/>
      <c r="CS58" s="105"/>
      <c r="CT58" s="71"/>
      <c r="CU58" s="58"/>
      <c r="CV58" s="50"/>
      <c r="CW58" s="50"/>
      <c r="CX58" s="105"/>
      <c r="CY58" s="71"/>
      <c r="CZ58" s="50"/>
      <c r="DA58" s="50"/>
      <c r="DB58" s="105"/>
      <c r="DC58" s="71"/>
      <c r="DD58" s="50"/>
      <c r="DE58" s="50"/>
      <c r="DF58" s="105"/>
      <c r="DG58" s="71"/>
      <c r="DH58" s="50"/>
      <c r="DI58" s="50"/>
      <c r="DJ58" s="50"/>
      <c r="DK58" s="105"/>
      <c r="DL58" s="71"/>
      <c r="DM58" s="50"/>
      <c r="DN58" s="50"/>
      <c r="DO58" s="105"/>
      <c r="DP58" s="71"/>
      <c r="DQ58" s="50"/>
      <c r="DR58" s="50"/>
      <c r="DS58" s="105"/>
      <c r="DT58" s="71"/>
      <c r="DU58" s="50"/>
      <c r="DV58" s="50"/>
      <c r="DW58" s="50"/>
      <c r="DX58" s="105"/>
      <c r="DY58" s="71"/>
      <c r="DZ58" s="50"/>
      <c r="EA58" s="50"/>
      <c r="EB58" s="50"/>
    </row>
    <row r="59" spans="2:132" ht="18" customHeight="1" x14ac:dyDescent="0.35">
      <c r="B59" s="238"/>
      <c r="C59" s="239"/>
      <c r="D59" s="8"/>
      <c r="E59" s="234"/>
      <c r="F59" s="234"/>
      <c r="G59" s="223"/>
      <c r="H59" s="10"/>
      <c r="K59" s="5"/>
      <c r="P59" s="18"/>
      <c r="Q59" s="19"/>
      <c r="R59" s="19"/>
      <c r="S59" s="20"/>
      <c r="T59" s="18"/>
      <c r="U59" s="19"/>
      <c r="V59" s="19"/>
      <c r="W59" s="20"/>
      <c r="X59" s="18"/>
      <c r="Y59" s="19"/>
      <c r="Z59" s="19"/>
      <c r="AA59" s="38"/>
      <c r="AB59" s="20"/>
      <c r="AC59" s="18"/>
      <c r="AD59" s="19"/>
      <c r="AE59" s="19"/>
      <c r="AF59" s="20"/>
      <c r="AG59" s="18"/>
      <c r="AH59" s="19"/>
      <c r="AI59" s="19"/>
      <c r="AJ59" s="20"/>
      <c r="AK59" s="18"/>
      <c r="AL59" s="19"/>
      <c r="AM59" s="19"/>
      <c r="AN59" s="19"/>
      <c r="AO59" s="20"/>
      <c r="AP59" s="18"/>
      <c r="AQ59" s="19"/>
      <c r="AR59" s="19"/>
      <c r="AS59" s="20"/>
      <c r="AT59" s="49"/>
      <c r="AU59" s="50"/>
      <c r="AV59" s="50"/>
      <c r="AW59" s="55"/>
      <c r="AX59" s="62"/>
      <c r="AY59" s="50"/>
      <c r="AZ59" s="50"/>
      <c r="BA59" s="63"/>
      <c r="BB59" s="58"/>
      <c r="BC59" s="50"/>
      <c r="BD59" s="50"/>
      <c r="BE59" s="70"/>
      <c r="BF59" s="71"/>
      <c r="BG59" s="50"/>
      <c r="BH59" s="50"/>
      <c r="BI59" s="50"/>
      <c r="BJ59" s="55"/>
      <c r="BK59" s="62"/>
      <c r="BL59" s="50"/>
      <c r="BM59" s="50"/>
      <c r="BN59" s="63"/>
      <c r="BO59" s="58"/>
      <c r="BP59" s="50"/>
      <c r="BQ59" s="50"/>
      <c r="BR59" s="55"/>
      <c r="BS59" s="62"/>
      <c r="BT59" s="50"/>
      <c r="BU59" s="50"/>
      <c r="BV59" s="50"/>
      <c r="BW59" s="70"/>
      <c r="BX59" s="71"/>
      <c r="BY59" s="50"/>
      <c r="BZ59" s="50"/>
      <c r="CA59" s="50"/>
      <c r="CB59" s="50"/>
      <c r="CC59" s="71"/>
      <c r="CD59" s="50"/>
      <c r="CE59" s="50"/>
      <c r="CF59" s="50"/>
      <c r="CG59" s="71"/>
      <c r="CH59" s="50"/>
      <c r="CI59" s="50"/>
      <c r="CJ59" s="50"/>
      <c r="CK59" s="50"/>
      <c r="CL59" s="71"/>
      <c r="CM59" s="50"/>
      <c r="CN59" s="50"/>
      <c r="CO59" s="105"/>
      <c r="CP59" s="71"/>
      <c r="CQ59" s="50"/>
      <c r="CR59" s="50"/>
      <c r="CS59" s="105"/>
      <c r="CT59" s="71"/>
      <c r="CU59" s="58"/>
      <c r="CV59" s="50"/>
      <c r="CW59" s="50"/>
      <c r="CX59" s="105"/>
      <c r="CY59" s="71"/>
      <c r="CZ59" s="50"/>
      <c r="DA59" s="50"/>
      <c r="DB59" s="105"/>
      <c r="DC59" s="71"/>
      <c r="DD59" s="50"/>
      <c r="DE59" s="50"/>
      <c r="DF59" s="105"/>
      <c r="DG59" s="71"/>
      <c r="DH59" s="50"/>
      <c r="DI59" s="50"/>
      <c r="DJ59" s="50"/>
      <c r="DK59" s="105"/>
      <c r="DL59" s="71"/>
      <c r="DM59" s="50"/>
      <c r="DN59" s="50"/>
      <c r="DO59" s="105"/>
      <c r="DP59" s="71"/>
      <c r="DQ59" s="50"/>
      <c r="DR59" s="50"/>
      <c r="DS59" s="105"/>
      <c r="DT59" s="71"/>
      <c r="DU59" s="50"/>
      <c r="DV59" s="50"/>
      <c r="DW59" s="50"/>
      <c r="DX59" s="105"/>
      <c r="DY59" s="71"/>
      <c r="DZ59" s="50"/>
      <c r="EA59" s="50"/>
      <c r="EB59" s="50"/>
    </row>
    <row r="60" spans="2:132" ht="18" customHeight="1" x14ac:dyDescent="0.35">
      <c r="B60" s="238"/>
      <c r="C60" s="239"/>
      <c r="D60" s="8"/>
      <c r="E60" s="234"/>
      <c r="F60" s="234"/>
      <c r="G60" s="223"/>
      <c r="H60" s="10"/>
      <c r="K60" s="5"/>
      <c r="P60" s="18"/>
      <c r="Q60" s="19"/>
      <c r="R60" s="19"/>
      <c r="S60" s="20"/>
      <c r="T60" s="18"/>
      <c r="U60" s="19"/>
      <c r="V60" s="19"/>
      <c r="W60" s="20"/>
      <c r="X60" s="18"/>
      <c r="Y60" s="19"/>
      <c r="Z60" s="19"/>
      <c r="AA60" s="38"/>
      <c r="AB60" s="20"/>
      <c r="AC60" s="18"/>
      <c r="AD60" s="19"/>
      <c r="AE60" s="19"/>
      <c r="AF60" s="20"/>
      <c r="AG60" s="18"/>
      <c r="AH60" s="19"/>
      <c r="AI60" s="19"/>
      <c r="AJ60" s="20"/>
      <c r="AK60" s="18"/>
      <c r="AL60" s="19"/>
      <c r="AM60" s="19"/>
      <c r="AN60" s="19"/>
      <c r="AO60" s="20"/>
      <c r="AP60" s="18"/>
      <c r="AQ60" s="19"/>
      <c r="AR60" s="19"/>
      <c r="AS60" s="20"/>
      <c r="AT60" s="49"/>
      <c r="AU60" s="50"/>
      <c r="AV60" s="50"/>
      <c r="AW60" s="55"/>
      <c r="AX60" s="62"/>
      <c r="AY60" s="50"/>
      <c r="AZ60" s="50"/>
      <c r="BA60" s="63"/>
      <c r="BB60" s="58"/>
      <c r="BC60" s="50"/>
      <c r="BD60" s="50"/>
      <c r="BE60" s="70"/>
      <c r="BF60" s="71"/>
      <c r="BG60" s="50"/>
      <c r="BH60" s="50"/>
      <c r="BI60" s="50"/>
      <c r="BJ60" s="55"/>
      <c r="BK60" s="62"/>
      <c r="BL60" s="50"/>
      <c r="BM60" s="50"/>
      <c r="BN60" s="63"/>
      <c r="BO60" s="58"/>
      <c r="BP60" s="50"/>
      <c r="BQ60" s="50"/>
      <c r="BR60" s="55"/>
      <c r="BS60" s="62"/>
      <c r="BT60" s="50"/>
      <c r="BU60" s="50"/>
      <c r="BV60" s="50"/>
      <c r="BW60" s="70"/>
      <c r="BX60" s="71"/>
      <c r="BY60" s="50"/>
      <c r="BZ60" s="50"/>
      <c r="CA60" s="50"/>
      <c r="CB60" s="50"/>
      <c r="CC60" s="71"/>
      <c r="CD60" s="50"/>
      <c r="CE60" s="50"/>
      <c r="CF60" s="50"/>
      <c r="CG60" s="71"/>
      <c r="CH60" s="50"/>
      <c r="CI60" s="50"/>
      <c r="CJ60" s="50"/>
      <c r="CK60" s="50"/>
      <c r="CL60" s="71"/>
      <c r="CM60" s="50"/>
      <c r="CN60" s="50"/>
      <c r="CO60" s="105"/>
      <c r="CP60" s="71"/>
      <c r="CQ60" s="50"/>
      <c r="CR60" s="50"/>
      <c r="CS60" s="105"/>
      <c r="CT60" s="71"/>
      <c r="CU60" s="58"/>
      <c r="CV60" s="50"/>
      <c r="CW60" s="50"/>
      <c r="CX60" s="105"/>
      <c r="CY60" s="71"/>
      <c r="CZ60" s="50"/>
      <c r="DA60" s="50"/>
      <c r="DB60" s="105"/>
      <c r="DC60" s="71"/>
      <c r="DD60" s="50"/>
      <c r="DE60" s="50"/>
      <c r="DF60" s="105"/>
      <c r="DG60" s="71"/>
      <c r="DH60" s="50"/>
      <c r="DI60" s="50"/>
      <c r="DJ60" s="50"/>
      <c r="DK60" s="105"/>
      <c r="DL60" s="71"/>
      <c r="DM60" s="50"/>
      <c r="DN60" s="50"/>
      <c r="DO60" s="105"/>
      <c r="DP60" s="71"/>
      <c r="DQ60" s="50"/>
      <c r="DR60" s="50"/>
      <c r="DS60" s="105"/>
      <c r="DT60" s="71"/>
      <c r="DU60" s="50"/>
      <c r="DV60" s="50"/>
      <c r="DW60" s="50"/>
      <c r="DX60" s="105"/>
      <c r="DY60" s="71"/>
      <c r="DZ60" s="50"/>
      <c r="EA60" s="50"/>
      <c r="EB60" s="50"/>
    </row>
    <row r="61" spans="2:132" ht="18" customHeight="1" x14ac:dyDescent="0.35">
      <c r="B61" s="238"/>
      <c r="C61" s="239"/>
      <c r="D61" s="8"/>
      <c r="E61" s="234"/>
      <c r="F61" s="234"/>
      <c r="G61" s="223"/>
      <c r="H61" s="10"/>
      <c r="K61" s="5"/>
      <c r="P61" s="18"/>
      <c r="Q61" s="19"/>
      <c r="R61" s="19"/>
      <c r="S61" s="20"/>
      <c r="T61" s="18"/>
      <c r="U61" s="19"/>
      <c r="V61" s="19"/>
      <c r="W61" s="20"/>
      <c r="X61" s="18"/>
      <c r="Y61" s="19"/>
      <c r="Z61" s="19"/>
      <c r="AA61" s="38"/>
      <c r="AB61" s="20"/>
      <c r="AC61" s="18"/>
      <c r="AD61" s="19"/>
      <c r="AE61" s="19"/>
      <c r="AF61" s="20"/>
      <c r="AG61" s="18"/>
      <c r="AH61" s="19"/>
      <c r="AI61" s="19"/>
      <c r="AJ61" s="20"/>
      <c r="AK61" s="18"/>
      <c r="AL61" s="19"/>
      <c r="AM61" s="19"/>
      <c r="AN61" s="19"/>
      <c r="AO61" s="20"/>
      <c r="AP61" s="18"/>
      <c r="AQ61" s="19"/>
      <c r="AR61" s="19"/>
      <c r="AS61" s="20"/>
      <c r="AT61" s="49"/>
      <c r="AU61" s="50"/>
      <c r="AV61" s="50"/>
      <c r="AW61" s="55"/>
      <c r="AX61" s="62"/>
      <c r="AY61" s="50"/>
      <c r="AZ61" s="50"/>
      <c r="BA61" s="63"/>
      <c r="BB61" s="58"/>
      <c r="BC61" s="50"/>
      <c r="BD61" s="50"/>
      <c r="BE61" s="70"/>
      <c r="BF61" s="71"/>
      <c r="BG61" s="50"/>
      <c r="BH61" s="50"/>
      <c r="BI61" s="50"/>
      <c r="BJ61" s="55"/>
      <c r="BK61" s="62"/>
      <c r="BL61" s="50"/>
      <c r="BM61" s="50"/>
      <c r="BN61" s="63"/>
      <c r="BO61" s="58"/>
      <c r="BP61" s="50"/>
      <c r="BQ61" s="50"/>
      <c r="BR61" s="55"/>
      <c r="BS61" s="62"/>
      <c r="BT61" s="50"/>
      <c r="BU61" s="50"/>
      <c r="BV61" s="50"/>
      <c r="BW61" s="70"/>
      <c r="BX61" s="71"/>
      <c r="BY61" s="50"/>
      <c r="BZ61" s="50"/>
      <c r="CA61" s="50"/>
      <c r="CB61" s="50"/>
      <c r="CC61" s="71"/>
      <c r="CD61" s="50"/>
      <c r="CE61" s="50"/>
      <c r="CF61" s="50"/>
      <c r="CG61" s="71"/>
      <c r="CH61" s="50"/>
      <c r="CI61" s="50"/>
      <c r="CJ61" s="50"/>
      <c r="CK61" s="50"/>
      <c r="CL61" s="71"/>
      <c r="CM61" s="50"/>
      <c r="CN61" s="50"/>
      <c r="CO61" s="105"/>
      <c r="CP61" s="71"/>
      <c r="CQ61" s="50"/>
      <c r="CR61" s="50"/>
      <c r="CS61" s="105"/>
      <c r="CT61" s="71"/>
      <c r="CU61" s="58"/>
      <c r="CV61" s="50"/>
      <c r="CW61" s="50"/>
      <c r="CX61" s="105"/>
      <c r="CY61" s="71"/>
      <c r="CZ61" s="50"/>
      <c r="DA61" s="50"/>
      <c r="DB61" s="105"/>
      <c r="DC61" s="71"/>
      <c r="DD61" s="50"/>
      <c r="DE61" s="50"/>
      <c r="DF61" s="105"/>
      <c r="DG61" s="71"/>
      <c r="DH61" s="50"/>
      <c r="DJ61" s="50"/>
      <c r="DK61" s="105"/>
      <c r="DL61" s="71"/>
      <c r="DM61" s="50"/>
      <c r="DN61" s="50"/>
      <c r="DO61" s="105"/>
      <c r="DP61" s="71"/>
      <c r="DQ61" s="50"/>
      <c r="DR61" s="50"/>
      <c r="DS61" s="105"/>
      <c r="DT61" s="71"/>
      <c r="DU61" s="50"/>
      <c r="DV61" s="50"/>
      <c r="DW61" s="50"/>
      <c r="DX61" s="105"/>
      <c r="DY61" s="71"/>
      <c r="DZ61" s="50"/>
      <c r="EA61" s="50"/>
      <c r="EB61" s="50"/>
    </row>
    <row r="62" spans="2:132" ht="18" customHeight="1" x14ac:dyDescent="0.35">
      <c r="B62" s="238"/>
      <c r="C62" s="239"/>
      <c r="D62" s="8"/>
      <c r="E62" s="235"/>
      <c r="F62" s="235"/>
      <c r="G62" s="223"/>
      <c r="H62" s="10"/>
      <c r="K62" s="5"/>
      <c r="P62" s="18"/>
      <c r="Q62" s="19"/>
      <c r="R62" s="19"/>
      <c r="S62" s="20"/>
      <c r="T62" s="18"/>
      <c r="U62" s="19"/>
      <c r="V62" s="19"/>
      <c r="W62" s="20"/>
      <c r="X62" s="18"/>
      <c r="Y62" s="19"/>
      <c r="Z62" s="19"/>
      <c r="AA62" s="38"/>
      <c r="AB62" s="20"/>
      <c r="AC62" s="18"/>
      <c r="AD62" s="19"/>
      <c r="AE62" s="19"/>
      <c r="AF62" s="20"/>
      <c r="AG62" s="18"/>
      <c r="AH62" s="19"/>
      <c r="AI62" s="19"/>
      <c r="AJ62" s="20"/>
      <c r="AK62" s="18"/>
      <c r="AL62" s="19"/>
      <c r="AM62" s="19"/>
      <c r="AN62" s="19"/>
      <c r="AO62" s="20"/>
      <c r="AP62" s="18"/>
      <c r="AQ62" s="19"/>
      <c r="AR62" s="19"/>
      <c r="AS62" s="20"/>
      <c r="AT62" s="49"/>
      <c r="AU62" s="50"/>
      <c r="AV62" s="50"/>
      <c r="AW62" s="55"/>
      <c r="AX62" s="62"/>
      <c r="AY62" s="50"/>
      <c r="AZ62" s="50"/>
      <c r="BA62" s="63"/>
      <c r="BB62" s="58"/>
      <c r="BC62" s="50"/>
      <c r="BD62" s="50"/>
      <c r="BE62" s="70"/>
      <c r="BF62" s="71"/>
      <c r="BG62" s="50"/>
      <c r="BH62" s="50"/>
      <c r="BI62" s="50"/>
      <c r="BJ62" s="55"/>
      <c r="BK62" s="62"/>
      <c r="BL62" s="50"/>
      <c r="BM62" s="50"/>
      <c r="BN62" s="63"/>
      <c r="BO62" s="58"/>
      <c r="BP62" s="50"/>
      <c r="BQ62" s="50"/>
      <c r="BR62" s="55"/>
      <c r="BS62" s="62"/>
      <c r="BT62" s="50"/>
      <c r="BU62" s="50"/>
      <c r="BV62" s="50"/>
      <c r="BW62" s="70"/>
      <c r="BX62" s="71"/>
      <c r="BY62" s="50"/>
      <c r="BZ62" s="50"/>
      <c r="CA62" s="50"/>
      <c r="CB62" s="50"/>
      <c r="CC62" s="71"/>
      <c r="CD62" s="50"/>
      <c r="CE62" s="50"/>
      <c r="CF62" s="50"/>
      <c r="CG62" s="71"/>
      <c r="CH62" s="50"/>
      <c r="CI62" s="50"/>
      <c r="CJ62" s="50"/>
      <c r="CK62" s="50"/>
      <c r="CL62" s="71"/>
      <c r="CM62" s="50"/>
      <c r="CN62" s="50"/>
      <c r="CO62" s="105"/>
      <c r="CP62" s="71"/>
      <c r="CQ62" s="50"/>
      <c r="CR62" s="50"/>
      <c r="CS62" s="105"/>
      <c r="CT62" s="71"/>
      <c r="CU62" s="58"/>
      <c r="CV62" s="50"/>
      <c r="CW62" s="50"/>
      <c r="CX62" s="105"/>
      <c r="CY62" s="71"/>
      <c r="CZ62" s="50"/>
      <c r="DA62" s="50"/>
      <c r="DB62" s="105"/>
      <c r="DC62" s="71"/>
      <c r="DD62" s="50"/>
      <c r="DE62" s="50"/>
      <c r="DF62" s="105"/>
      <c r="DG62" s="71"/>
      <c r="DH62" s="50"/>
      <c r="DJ62" s="50"/>
      <c r="DK62" s="105"/>
      <c r="DL62" s="71"/>
      <c r="DM62" s="50"/>
      <c r="DN62" s="50"/>
      <c r="DO62" s="105"/>
      <c r="DP62" s="71"/>
      <c r="DQ62" s="50"/>
      <c r="DR62" s="50"/>
      <c r="DS62" s="105"/>
      <c r="DT62" s="71"/>
      <c r="DU62" s="50"/>
      <c r="DV62" s="50"/>
      <c r="DW62" s="50"/>
      <c r="DX62" s="105"/>
      <c r="DY62" s="71"/>
      <c r="DZ62" s="50"/>
      <c r="EA62" s="50"/>
      <c r="EB62" s="50"/>
    </row>
    <row r="63" spans="2:132" ht="18" customHeight="1" x14ac:dyDescent="0.35">
      <c r="B63" s="238"/>
      <c r="C63" s="239"/>
      <c r="D63" s="8"/>
      <c r="E63" s="235"/>
      <c r="F63" s="235"/>
      <c r="G63" s="223"/>
      <c r="H63" s="10"/>
      <c r="K63" s="5"/>
      <c r="P63" s="18"/>
      <c r="Q63" s="19"/>
      <c r="R63" s="19"/>
      <c r="S63" s="20"/>
      <c r="T63" s="18"/>
      <c r="U63" s="19"/>
      <c r="V63" s="19"/>
      <c r="W63" s="20"/>
      <c r="X63" s="18"/>
      <c r="Y63" s="19"/>
      <c r="Z63" s="19"/>
      <c r="AA63" s="38"/>
      <c r="AB63" s="20"/>
      <c r="AC63" s="18"/>
      <c r="AD63" s="19"/>
      <c r="AE63" s="19"/>
      <c r="AF63" s="20"/>
      <c r="AG63" s="18"/>
      <c r="AH63" s="19"/>
      <c r="AI63" s="19"/>
      <c r="AJ63" s="20"/>
      <c r="AK63" s="18"/>
      <c r="AL63" s="19"/>
      <c r="AM63" s="19"/>
      <c r="AN63" s="19"/>
      <c r="AO63" s="20"/>
      <c r="AP63" s="18"/>
      <c r="AQ63" s="19"/>
      <c r="AR63" s="19"/>
      <c r="AS63" s="20"/>
      <c r="AT63" s="49"/>
      <c r="AU63" s="50"/>
      <c r="AV63" s="50"/>
      <c r="AW63" s="55"/>
      <c r="AX63" s="62"/>
      <c r="AY63" s="50"/>
      <c r="AZ63" s="50"/>
      <c r="BA63" s="63"/>
      <c r="BB63" s="58"/>
      <c r="BC63" s="50"/>
      <c r="BD63" s="50"/>
      <c r="BE63" s="70"/>
      <c r="BF63" s="71"/>
      <c r="BG63" s="50"/>
      <c r="BH63" s="50"/>
      <c r="BI63" s="50"/>
      <c r="BJ63" s="55"/>
      <c r="BK63" s="62"/>
      <c r="BL63" s="50"/>
      <c r="BM63" s="50"/>
      <c r="BN63" s="63"/>
      <c r="BO63" s="58"/>
      <c r="BP63" s="50"/>
      <c r="BQ63" s="50"/>
      <c r="BR63" s="55"/>
      <c r="BS63" s="62"/>
      <c r="BT63" s="50"/>
      <c r="BU63" s="50"/>
      <c r="BV63" s="50"/>
      <c r="BW63" s="70"/>
      <c r="BX63" s="71"/>
      <c r="BY63" s="50"/>
      <c r="BZ63" s="50"/>
      <c r="CA63" s="50"/>
      <c r="CB63" s="50"/>
      <c r="CC63" s="71"/>
      <c r="CD63" s="50"/>
      <c r="CE63" s="50"/>
      <c r="CF63" s="50"/>
      <c r="CG63" s="71"/>
      <c r="CH63" s="50"/>
      <c r="CI63" s="50"/>
      <c r="CJ63" s="50"/>
      <c r="CK63" s="50"/>
      <c r="CL63" s="71"/>
      <c r="CM63" s="50"/>
      <c r="CN63" s="50"/>
      <c r="CO63" s="105"/>
      <c r="CP63" s="71"/>
      <c r="CQ63" s="50"/>
      <c r="CR63" s="50"/>
      <c r="CS63" s="105"/>
      <c r="CT63" s="71"/>
      <c r="CU63" s="58"/>
      <c r="CV63" s="50"/>
      <c r="CW63" s="50"/>
      <c r="CX63" s="105"/>
      <c r="CY63" s="71"/>
      <c r="CZ63" s="50"/>
      <c r="DA63" s="50"/>
      <c r="DB63" s="105"/>
      <c r="DC63" s="71"/>
      <c r="DD63" s="50"/>
      <c r="DE63" s="50"/>
      <c r="DF63" s="105"/>
      <c r="DG63" s="71"/>
      <c r="DH63" s="50"/>
      <c r="DI63" s="50"/>
      <c r="DJ63" s="50"/>
      <c r="DK63" s="105"/>
      <c r="DL63" s="71"/>
      <c r="DM63" s="50"/>
      <c r="DN63" s="50"/>
      <c r="DO63" s="105"/>
      <c r="DP63" s="71"/>
      <c r="DQ63" s="50"/>
      <c r="DR63" s="50"/>
      <c r="DS63" s="105"/>
      <c r="DT63" s="71"/>
      <c r="DU63" s="50"/>
      <c r="DV63" s="50"/>
      <c r="DW63" s="50"/>
      <c r="DX63" s="105"/>
      <c r="DY63" s="71"/>
      <c r="DZ63" s="50"/>
      <c r="EA63" s="50"/>
      <c r="EB63" s="50"/>
    </row>
    <row r="64" spans="2:132" ht="18" customHeight="1" x14ac:dyDescent="0.35">
      <c r="B64" s="238"/>
      <c r="C64" s="239"/>
      <c r="D64" s="8"/>
      <c r="E64" s="235"/>
      <c r="F64" s="235"/>
      <c r="G64" s="223"/>
      <c r="H64" s="10"/>
      <c r="K64" s="5"/>
      <c r="P64" s="18"/>
      <c r="Q64" s="19"/>
      <c r="R64" s="19"/>
      <c r="S64" s="20"/>
      <c r="T64" s="18"/>
      <c r="U64" s="19"/>
      <c r="V64" s="19"/>
      <c r="W64" s="20"/>
      <c r="X64" s="18"/>
      <c r="Y64" s="19"/>
      <c r="Z64" s="19"/>
      <c r="AA64" s="38"/>
      <c r="AB64" s="20"/>
      <c r="AC64" s="18"/>
      <c r="AD64" s="19"/>
      <c r="AE64" s="19"/>
      <c r="AF64" s="20"/>
      <c r="AG64" s="18"/>
      <c r="AH64" s="19"/>
      <c r="AI64" s="19"/>
      <c r="AJ64" s="20"/>
      <c r="AK64" s="18"/>
      <c r="AL64" s="19"/>
      <c r="AM64" s="19"/>
      <c r="AN64" s="19"/>
      <c r="AO64" s="20"/>
      <c r="AP64" s="18"/>
      <c r="AQ64" s="19"/>
      <c r="AR64" s="19"/>
      <c r="AS64" s="20"/>
      <c r="AT64" s="49"/>
      <c r="AU64" s="50"/>
      <c r="AV64" s="50"/>
      <c r="AW64" s="55"/>
      <c r="AX64" s="62"/>
      <c r="AY64" s="50"/>
      <c r="AZ64" s="50"/>
      <c r="BA64" s="63"/>
      <c r="BB64" s="58"/>
      <c r="BC64" s="50"/>
      <c r="BD64" s="50"/>
      <c r="BE64" s="70"/>
      <c r="BF64" s="71"/>
      <c r="BG64" s="50"/>
      <c r="BH64" s="50"/>
      <c r="BI64" s="50"/>
      <c r="BJ64" s="55"/>
      <c r="BK64" s="62"/>
      <c r="BL64" s="50"/>
      <c r="BM64" s="50"/>
      <c r="BN64" s="63"/>
      <c r="BO64" s="58"/>
      <c r="BP64" s="50"/>
      <c r="BQ64" s="50"/>
      <c r="BR64" s="55"/>
      <c r="BS64" s="62"/>
      <c r="BT64" s="50"/>
      <c r="BU64" s="50"/>
      <c r="BV64" s="50"/>
      <c r="BW64" s="70"/>
      <c r="BX64" s="71"/>
      <c r="BY64" s="50"/>
      <c r="BZ64" s="50"/>
      <c r="CA64" s="50"/>
      <c r="CB64" s="50"/>
      <c r="CC64" s="71"/>
      <c r="CD64" s="50"/>
      <c r="CE64" s="50"/>
      <c r="CF64" s="50"/>
      <c r="CG64" s="71"/>
      <c r="CH64" s="50"/>
      <c r="CI64" s="50"/>
      <c r="CJ64" s="50"/>
      <c r="CK64" s="50"/>
      <c r="CL64" s="71"/>
      <c r="CM64" s="50"/>
      <c r="CN64" s="50"/>
      <c r="CO64" s="105"/>
      <c r="CP64" s="71"/>
      <c r="CQ64" s="50"/>
      <c r="CR64" s="50"/>
      <c r="CS64" s="105"/>
      <c r="CT64" s="71"/>
      <c r="CU64" s="58"/>
      <c r="CV64" s="50"/>
      <c r="CW64" s="50"/>
      <c r="CX64" s="105"/>
      <c r="CY64" s="71"/>
      <c r="CZ64" s="50"/>
      <c r="DA64" s="50"/>
      <c r="DB64" s="105"/>
      <c r="DC64" s="71"/>
      <c r="DD64" s="50"/>
      <c r="DE64" s="50"/>
      <c r="DF64" s="105"/>
      <c r="DG64" s="71"/>
      <c r="DH64" s="50"/>
      <c r="DI64" s="50"/>
      <c r="DJ64" s="50"/>
      <c r="DK64" s="105"/>
      <c r="DL64" s="71"/>
      <c r="DM64" s="50"/>
      <c r="DN64" s="50"/>
      <c r="DO64" s="105"/>
      <c r="DP64" s="71"/>
      <c r="DQ64" s="50"/>
      <c r="DR64" s="50"/>
      <c r="DS64" s="105"/>
      <c r="DT64" s="71"/>
      <c r="DU64" s="50"/>
      <c r="DV64" s="50"/>
      <c r="DW64" s="50"/>
      <c r="DX64" s="105"/>
      <c r="DY64" s="71"/>
      <c r="DZ64" s="50"/>
      <c r="EA64" s="50"/>
      <c r="EB64" s="50"/>
    </row>
    <row r="65" spans="2:132" ht="18" customHeight="1" x14ac:dyDescent="0.35">
      <c r="B65" s="238"/>
      <c r="C65" s="239"/>
      <c r="D65" s="8"/>
      <c r="E65" s="235"/>
      <c r="F65" s="235"/>
      <c r="G65" s="223"/>
      <c r="H65" s="10"/>
      <c r="K65" s="5"/>
      <c r="P65" s="18"/>
      <c r="Q65" s="19"/>
      <c r="R65" s="19"/>
      <c r="S65" s="20"/>
      <c r="T65" s="18"/>
      <c r="U65" s="19"/>
      <c r="V65" s="19"/>
      <c r="W65" s="20"/>
      <c r="X65" s="18"/>
      <c r="Y65" s="19"/>
      <c r="Z65" s="19"/>
      <c r="AA65" s="38"/>
      <c r="AB65" s="20"/>
      <c r="AC65" s="18"/>
      <c r="AD65" s="19"/>
      <c r="AE65" s="19"/>
      <c r="AF65" s="20"/>
      <c r="AG65" s="18"/>
      <c r="AH65" s="19"/>
      <c r="AI65" s="19"/>
      <c r="AJ65" s="20"/>
      <c r="AK65" s="18"/>
      <c r="AL65" s="19"/>
      <c r="AM65" s="19"/>
      <c r="AN65" s="19"/>
      <c r="AO65" s="20"/>
      <c r="AP65" s="18"/>
      <c r="AQ65" s="19"/>
      <c r="AR65" s="19"/>
      <c r="AS65" s="20"/>
      <c r="AT65" s="49"/>
      <c r="AU65" s="50"/>
      <c r="AV65" s="50"/>
      <c r="AW65" s="55"/>
      <c r="AX65" s="62"/>
      <c r="AY65" s="50"/>
      <c r="AZ65" s="50"/>
      <c r="BA65" s="63"/>
      <c r="BB65" s="58"/>
      <c r="BC65" s="50"/>
      <c r="BD65" s="50"/>
      <c r="BE65" s="70"/>
      <c r="BF65" s="71"/>
      <c r="BG65" s="50"/>
      <c r="BH65" s="50"/>
      <c r="BI65" s="50"/>
      <c r="BJ65" s="55"/>
      <c r="BK65" s="62"/>
      <c r="BL65" s="50"/>
      <c r="BM65" s="50"/>
      <c r="BN65" s="63"/>
      <c r="BO65" s="58"/>
      <c r="BP65" s="50"/>
      <c r="BQ65" s="50"/>
      <c r="BR65" s="55"/>
      <c r="BS65" s="62"/>
      <c r="BT65" s="50"/>
      <c r="BU65" s="50"/>
      <c r="BV65" s="50"/>
      <c r="BW65" s="70"/>
      <c r="BX65" s="71"/>
      <c r="BY65" s="50"/>
      <c r="BZ65" s="50"/>
      <c r="CA65" s="50"/>
      <c r="CB65" s="50"/>
      <c r="CC65" s="71"/>
      <c r="CD65" s="50"/>
      <c r="CE65" s="50"/>
      <c r="CF65" s="50"/>
      <c r="CG65" s="71"/>
      <c r="CH65" s="50"/>
      <c r="CI65" s="50"/>
      <c r="CJ65" s="50"/>
      <c r="CK65" s="50"/>
      <c r="CL65" s="71"/>
      <c r="CM65" s="50"/>
      <c r="CN65" s="50"/>
      <c r="CO65" s="105"/>
      <c r="CP65" s="71"/>
      <c r="CQ65" s="50"/>
      <c r="CR65" s="50"/>
      <c r="CS65" s="105"/>
      <c r="CT65" s="71"/>
      <c r="CU65" s="58"/>
      <c r="CV65" s="50"/>
      <c r="CW65" s="50"/>
      <c r="CX65" s="105"/>
      <c r="CY65" s="71"/>
      <c r="CZ65" s="50"/>
      <c r="DA65" s="50"/>
      <c r="DB65" s="105"/>
      <c r="DC65" s="71"/>
      <c r="DD65" s="50"/>
      <c r="DE65" s="50"/>
      <c r="DF65" s="105"/>
      <c r="DG65" s="71"/>
      <c r="DH65" s="50"/>
      <c r="DI65" s="50"/>
      <c r="DJ65" s="50"/>
      <c r="DK65" s="105"/>
      <c r="DL65" s="71"/>
      <c r="DM65" s="50"/>
      <c r="DN65" s="50"/>
      <c r="DO65" s="105"/>
      <c r="DP65" s="71"/>
      <c r="DQ65" s="50"/>
      <c r="DR65" s="50"/>
      <c r="DS65" s="105"/>
      <c r="DT65" s="71"/>
      <c r="DU65" s="50"/>
      <c r="DV65" s="50"/>
      <c r="DW65" s="50"/>
      <c r="DX65" s="105"/>
      <c r="DY65" s="71"/>
      <c r="DZ65" s="50"/>
      <c r="EA65" s="50"/>
      <c r="EB65" s="50"/>
    </row>
    <row r="66" spans="2:132" ht="18" customHeight="1" x14ac:dyDescent="0.35">
      <c r="B66" s="238"/>
      <c r="C66" s="239"/>
      <c r="D66" s="8"/>
      <c r="E66" s="235"/>
      <c r="F66" s="235"/>
      <c r="G66" s="223"/>
      <c r="H66" s="10"/>
      <c r="K66" s="5"/>
      <c r="P66" s="18"/>
      <c r="Q66" s="19"/>
      <c r="R66" s="19"/>
      <c r="S66" s="20"/>
      <c r="T66" s="18"/>
      <c r="U66" s="19"/>
      <c r="V66" s="19"/>
      <c r="W66" s="20"/>
      <c r="X66" s="18"/>
      <c r="Y66" s="19"/>
      <c r="Z66" s="19"/>
      <c r="AA66" s="38"/>
      <c r="AB66" s="20"/>
      <c r="AC66" s="18"/>
      <c r="AD66" s="19"/>
      <c r="AE66" s="19"/>
      <c r="AF66" s="20"/>
      <c r="AG66" s="18"/>
      <c r="AH66" s="19"/>
      <c r="AI66" s="19"/>
      <c r="AJ66" s="20"/>
      <c r="AK66" s="18"/>
      <c r="AL66" s="19"/>
      <c r="AM66" s="19"/>
      <c r="AN66" s="19"/>
      <c r="AO66" s="20"/>
      <c r="AP66" s="18"/>
      <c r="AQ66" s="19"/>
      <c r="AR66" s="19"/>
      <c r="AS66" s="20"/>
      <c r="AT66" s="49"/>
      <c r="AU66" s="50"/>
      <c r="AV66" s="50"/>
      <c r="AW66" s="55"/>
      <c r="AX66" s="62"/>
      <c r="AY66" s="50"/>
      <c r="AZ66" s="50"/>
      <c r="BA66" s="63"/>
      <c r="BB66" s="58"/>
      <c r="BC66" s="50"/>
      <c r="BD66" s="50"/>
      <c r="BE66" s="70"/>
      <c r="BF66" s="71"/>
      <c r="BG66" s="50"/>
      <c r="BH66" s="50"/>
      <c r="BI66" s="50"/>
      <c r="BJ66" s="55"/>
      <c r="BK66" s="62"/>
      <c r="BL66" s="50"/>
      <c r="BM66" s="50"/>
      <c r="BN66" s="63"/>
      <c r="BO66" s="58"/>
      <c r="BP66" s="50"/>
      <c r="BQ66" s="50"/>
      <c r="BR66" s="55"/>
      <c r="BS66" s="62"/>
      <c r="BT66" s="50"/>
      <c r="BU66" s="50"/>
      <c r="BV66" s="50"/>
      <c r="BW66" s="70"/>
      <c r="BX66" s="71"/>
      <c r="BY66" s="50"/>
      <c r="BZ66" s="50"/>
      <c r="CA66" s="50"/>
      <c r="CB66" s="50"/>
      <c r="CC66" s="71"/>
      <c r="CD66" s="50"/>
      <c r="CE66" s="50"/>
      <c r="CF66" s="50"/>
      <c r="CG66" s="71"/>
      <c r="CH66" s="50"/>
      <c r="CI66" s="50"/>
      <c r="CJ66" s="50"/>
      <c r="CK66" s="50"/>
      <c r="CL66" s="71"/>
      <c r="CM66" s="50"/>
      <c r="CN66" s="50"/>
      <c r="CO66" s="105"/>
      <c r="CP66" s="71"/>
      <c r="CQ66" s="50"/>
      <c r="CR66" s="50"/>
      <c r="CS66" s="105"/>
      <c r="CT66" s="71"/>
      <c r="CU66" s="58"/>
      <c r="CV66" s="50"/>
      <c r="CW66" s="50"/>
      <c r="CX66" s="105"/>
      <c r="CY66" s="71"/>
      <c r="CZ66" s="50"/>
      <c r="DA66" s="50"/>
      <c r="DB66" s="105"/>
      <c r="DC66" s="71"/>
      <c r="DD66" s="50"/>
      <c r="DE66" s="50"/>
      <c r="DF66" s="105"/>
      <c r="DG66" s="71"/>
      <c r="DH66" s="50"/>
      <c r="DI66" s="50"/>
      <c r="DJ66" s="50"/>
      <c r="DK66" s="105"/>
      <c r="DL66" s="71"/>
      <c r="DM66" s="50"/>
      <c r="DN66" s="50"/>
      <c r="DO66" s="105"/>
      <c r="DP66" s="71"/>
      <c r="DQ66" s="50"/>
      <c r="DR66" s="50"/>
      <c r="DS66" s="105"/>
      <c r="DT66" s="71"/>
      <c r="DU66" s="50"/>
      <c r="DV66" s="50"/>
      <c r="DW66" s="50"/>
      <c r="DX66" s="105"/>
      <c r="DY66" s="71"/>
      <c r="DZ66" s="50"/>
      <c r="EA66" s="50"/>
      <c r="EB66" s="50"/>
    </row>
    <row r="67" spans="2:132" ht="18" customHeight="1" x14ac:dyDescent="0.35">
      <c r="B67" s="238"/>
      <c r="C67" s="239"/>
      <c r="D67" s="8"/>
      <c r="E67" s="235"/>
      <c r="F67" s="235"/>
      <c r="G67" s="223"/>
      <c r="H67" s="10"/>
      <c r="K67" s="5"/>
      <c r="P67" s="18"/>
      <c r="Q67" s="19"/>
      <c r="R67" s="19"/>
      <c r="S67" s="20"/>
      <c r="T67" s="18"/>
      <c r="U67" s="19"/>
      <c r="V67" s="19"/>
      <c r="W67" s="20"/>
      <c r="X67" s="18"/>
      <c r="Y67" s="19"/>
      <c r="Z67" s="19"/>
      <c r="AA67" s="38"/>
      <c r="AB67" s="20"/>
      <c r="AC67" s="18"/>
      <c r="AD67" s="19"/>
      <c r="AE67" s="19"/>
      <c r="AF67" s="20"/>
      <c r="AG67" s="18"/>
      <c r="AH67" s="19"/>
      <c r="AI67" s="19"/>
      <c r="AJ67" s="20"/>
      <c r="AK67" s="18"/>
      <c r="AL67" s="19"/>
      <c r="AM67" s="19"/>
      <c r="AN67" s="19"/>
      <c r="AO67" s="20"/>
      <c r="AP67" s="18"/>
      <c r="AQ67" s="19"/>
      <c r="AR67" s="19"/>
      <c r="AS67" s="20"/>
      <c r="AT67" s="49"/>
      <c r="AU67" s="50"/>
      <c r="AV67" s="50"/>
      <c r="AW67" s="55"/>
      <c r="AX67" s="62"/>
      <c r="AY67" s="50"/>
      <c r="AZ67" s="50"/>
      <c r="BA67" s="63"/>
      <c r="BB67" s="58"/>
      <c r="BC67" s="50"/>
      <c r="BD67" s="50"/>
      <c r="BE67" s="70"/>
      <c r="BF67" s="71"/>
      <c r="BG67" s="50"/>
      <c r="BH67" s="50"/>
      <c r="BI67" s="50"/>
      <c r="BJ67" s="55"/>
      <c r="BK67" s="62"/>
      <c r="BL67" s="50"/>
      <c r="BM67" s="50"/>
      <c r="BN67" s="63"/>
      <c r="BO67" s="58"/>
      <c r="BP67" s="50"/>
      <c r="BQ67" s="50"/>
      <c r="BR67" s="55"/>
      <c r="BS67" s="62"/>
      <c r="BT67" s="50"/>
      <c r="BU67" s="50"/>
      <c r="BV67" s="50"/>
      <c r="BW67" s="70"/>
      <c r="BX67" s="71"/>
      <c r="BY67" s="50"/>
      <c r="BZ67" s="50"/>
      <c r="CA67" s="50"/>
      <c r="CB67" s="50"/>
      <c r="CC67" s="71"/>
      <c r="CD67" s="50"/>
      <c r="CE67" s="50"/>
      <c r="CF67" s="50"/>
      <c r="CG67" s="71"/>
      <c r="CH67" s="50"/>
      <c r="CI67" s="50"/>
      <c r="CJ67" s="50"/>
      <c r="CK67" s="50"/>
      <c r="CL67" s="71"/>
      <c r="CM67" s="50"/>
      <c r="CN67" s="50"/>
      <c r="CO67" s="105"/>
      <c r="CP67" s="71"/>
      <c r="CQ67" s="50"/>
      <c r="CR67" s="50"/>
      <c r="CS67" s="105"/>
      <c r="CT67" s="71"/>
      <c r="CU67" s="58"/>
      <c r="CV67" s="50"/>
      <c r="CW67" s="50"/>
      <c r="CX67" s="105"/>
      <c r="CY67" s="71"/>
      <c r="CZ67" s="50"/>
      <c r="DA67" s="50"/>
      <c r="DB67" s="105"/>
      <c r="DC67" s="71"/>
      <c r="DD67" s="50"/>
      <c r="DE67" s="50"/>
      <c r="DF67" s="105"/>
      <c r="DG67" s="71"/>
      <c r="DH67" s="50"/>
      <c r="DI67" s="50"/>
      <c r="DJ67" s="50"/>
      <c r="DK67" s="105"/>
      <c r="DL67" s="71"/>
      <c r="DM67" s="50"/>
      <c r="DN67" s="50"/>
      <c r="DO67" s="105"/>
      <c r="DP67" s="71"/>
      <c r="DQ67" s="50"/>
      <c r="DR67" s="50"/>
      <c r="DS67" s="105"/>
      <c r="DT67" s="71"/>
      <c r="DU67" s="50"/>
      <c r="DV67" s="50"/>
      <c r="DW67" s="50"/>
      <c r="DX67" s="105"/>
      <c r="DY67" s="71"/>
      <c r="DZ67" s="50"/>
      <c r="EA67" s="50"/>
      <c r="EB67" s="50"/>
    </row>
    <row r="68" spans="2:132" ht="18" customHeight="1" thickBot="1" x14ac:dyDescent="0.4">
      <c r="B68" s="238"/>
      <c r="C68" s="240"/>
      <c r="D68" s="13"/>
      <c r="E68" s="236"/>
      <c r="F68" s="236"/>
      <c r="G68" s="224"/>
      <c r="H68" s="15"/>
      <c r="I68" s="16"/>
      <c r="J68" s="16"/>
      <c r="K68" s="17"/>
      <c r="L68" s="16"/>
      <c r="M68" s="16"/>
      <c r="N68" s="16"/>
      <c r="O68" s="16"/>
      <c r="P68" s="27"/>
      <c r="Q68" s="28"/>
      <c r="R68" s="28"/>
      <c r="S68" s="29"/>
      <c r="T68" s="27"/>
      <c r="U68" s="28"/>
      <c r="V68" s="28"/>
      <c r="W68" s="29"/>
      <c r="X68" s="27"/>
      <c r="Y68" s="28"/>
      <c r="Z68" s="28"/>
      <c r="AA68" s="41"/>
      <c r="AB68" s="29"/>
      <c r="AC68" s="27"/>
      <c r="AD68" s="28"/>
      <c r="AE68" s="28"/>
      <c r="AF68" s="29"/>
      <c r="AG68" s="27"/>
      <c r="AH68" s="28"/>
      <c r="AI68" s="28"/>
      <c r="AJ68" s="29"/>
      <c r="AK68" s="27"/>
      <c r="AL68" s="28"/>
      <c r="AM68" s="28"/>
      <c r="AN68" s="28"/>
      <c r="AO68" s="29"/>
      <c r="AP68" s="27"/>
      <c r="AQ68" s="28"/>
      <c r="AR68" s="28"/>
      <c r="AS68" s="29"/>
      <c r="AT68" s="51"/>
      <c r="AU68" s="52"/>
      <c r="AV68" s="52"/>
      <c r="AW68" s="56"/>
      <c r="AX68" s="64"/>
      <c r="AY68" s="52"/>
      <c r="AZ68" s="52"/>
      <c r="BA68" s="65"/>
      <c r="BB68" s="59"/>
      <c r="BC68" s="52"/>
      <c r="BD68" s="52"/>
      <c r="BE68" s="72"/>
      <c r="BF68" s="73"/>
      <c r="BG68" s="52"/>
      <c r="BH68" s="52"/>
      <c r="BI68" s="52"/>
      <c r="BJ68" s="56"/>
      <c r="BK68" s="64"/>
      <c r="BL68" s="52"/>
      <c r="BM68" s="52"/>
      <c r="BN68" s="65"/>
      <c r="BO68" s="59"/>
      <c r="BP68" s="52"/>
      <c r="BQ68" s="52"/>
      <c r="BR68" s="56"/>
      <c r="BS68" s="64"/>
      <c r="BT68" s="52"/>
      <c r="BU68" s="52"/>
      <c r="BV68" s="52"/>
      <c r="BW68" s="72"/>
      <c r="BX68" s="73"/>
      <c r="BY68" s="52"/>
      <c r="BZ68" s="52"/>
      <c r="CA68" s="52"/>
      <c r="CB68" s="52"/>
      <c r="CC68" s="73"/>
      <c r="CD68" s="52"/>
      <c r="CE68" s="52"/>
      <c r="CF68" s="52"/>
      <c r="CG68" s="73"/>
      <c r="CH68" s="52"/>
      <c r="CI68" s="52"/>
      <c r="CJ68" s="52"/>
      <c r="CK68" s="52"/>
      <c r="CL68" s="73"/>
      <c r="CM68" s="52"/>
      <c r="CN68" s="52"/>
      <c r="CO68" s="106"/>
      <c r="CP68" s="73"/>
      <c r="CQ68" s="52"/>
      <c r="CR68" s="52"/>
      <c r="CS68" s="106"/>
      <c r="CT68" s="73"/>
      <c r="CU68" s="59"/>
      <c r="CV68" s="52"/>
      <c r="CW68" s="52"/>
      <c r="CX68" s="106"/>
      <c r="CY68" s="73"/>
      <c r="CZ68" s="52"/>
      <c r="DA68" s="52"/>
      <c r="DB68" s="106"/>
      <c r="DC68" s="73"/>
      <c r="DD68" s="52"/>
      <c r="DE68" s="52"/>
      <c r="DF68" s="106"/>
      <c r="DG68" s="73"/>
      <c r="DH68" s="52"/>
      <c r="DI68" s="52"/>
      <c r="DJ68" s="52"/>
      <c r="DK68" s="106"/>
      <c r="DL68" s="73"/>
      <c r="DM68" s="52"/>
      <c r="DN68" s="52"/>
      <c r="DO68" s="106"/>
      <c r="DP68" s="73"/>
      <c r="DQ68" s="52"/>
      <c r="DR68" s="52"/>
      <c r="DS68" s="106"/>
      <c r="DT68" s="73"/>
      <c r="DU68" s="52"/>
      <c r="DV68" s="52"/>
      <c r="DW68" s="52"/>
      <c r="DX68" s="106"/>
      <c r="DY68" s="73"/>
      <c r="DZ68" s="52"/>
      <c r="EA68" s="52"/>
      <c r="EB68" s="52"/>
    </row>
    <row r="69" spans="2:132" ht="18" customHeight="1" x14ac:dyDescent="0.35">
      <c r="B69" s="238"/>
      <c r="C69" s="239" t="s">
        <v>70</v>
      </c>
      <c r="D69" s="8"/>
      <c r="E69" s="233" t="s">
        <v>97</v>
      </c>
      <c r="F69" s="233" t="s">
        <v>98</v>
      </c>
      <c r="G69" s="222" t="s">
        <v>68</v>
      </c>
      <c r="H69" s="10"/>
      <c r="K69" s="5"/>
      <c r="P69" s="18"/>
      <c r="Q69" s="19"/>
      <c r="R69" s="19"/>
      <c r="S69" s="20"/>
      <c r="T69" s="18"/>
      <c r="U69" s="19"/>
      <c r="V69" s="19"/>
      <c r="W69" s="20"/>
      <c r="X69" s="18"/>
      <c r="Y69" s="19"/>
      <c r="Z69" s="19"/>
      <c r="AA69" s="38"/>
      <c r="AB69" s="20"/>
      <c r="AC69" s="18"/>
      <c r="AD69" s="19"/>
      <c r="AE69" s="19"/>
      <c r="AF69" s="20"/>
      <c r="AG69" s="18"/>
      <c r="AH69" s="19"/>
      <c r="AI69" s="19"/>
      <c r="AJ69" s="20"/>
      <c r="AK69" s="18"/>
      <c r="AL69" s="19"/>
      <c r="AM69" s="19"/>
      <c r="AN69" s="19"/>
      <c r="AO69" s="20"/>
      <c r="AP69" s="18"/>
      <c r="AQ69" s="19"/>
      <c r="AR69" s="19"/>
      <c r="AS69" s="20"/>
      <c r="AT69" s="49"/>
      <c r="AU69" s="50"/>
      <c r="AV69" s="50"/>
      <c r="AW69" s="55"/>
      <c r="AX69" s="62"/>
      <c r="AY69" s="50"/>
      <c r="AZ69" s="50"/>
      <c r="BA69" s="63"/>
      <c r="BB69" s="58"/>
      <c r="BC69" s="50"/>
      <c r="BD69" s="50"/>
      <c r="BE69" s="70"/>
      <c r="BF69" s="71"/>
      <c r="BG69" s="50"/>
      <c r="BH69" s="50"/>
      <c r="BI69" s="50"/>
      <c r="BJ69" s="55"/>
      <c r="BK69" s="62"/>
      <c r="BL69" s="50"/>
      <c r="BM69" s="50"/>
      <c r="BN69" s="63"/>
      <c r="BO69" s="58"/>
      <c r="BP69" s="50"/>
      <c r="BQ69" s="50"/>
      <c r="BR69" s="55"/>
      <c r="BS69" s="62"/>
      <c r="BT69" s="50"/>
      <c r="BU69" s="50"/>
      <c r="BV69" s="50"/>
      <c r="BW69" s="70"/>
      <c r="BX69" s="71"/>
      <c r="BY69" s="50"/>
      <c r="BZ69" s="50"/>
      <c r="CA69" s="50"/>
      <c r="CB69" s="50"/>
      <c r="CC69" s="71"/>
      <c r="CD69" s="50"/>
      <c r="CE69" s="50"/>
      <c r="CF69" s="50"/>
      <c r="CG69" s="71"/>
      <c r="CH69" s="50"/>
      <c r="CI69" s="50"/>
      <c r="CJ69" s="50"/>
      <c r="CK69" s="50"/>
      <c r="CL69" s="71"/>
      <c r="CM69" s="50"/>
      <c r="CN69" s="50"/>
      <c r="CO69" s="105"/>
      <c r="CP69" s="71"/>
      <c r="CQ69" s="50"/>
      <c r="CR69" s="50"/>
      <c r="CS69" s="105"/>
      <c r="CT69" s="71"/>
      <c r="CU69" s="58"/>
      <c r="CV69" s="50"/>
      <c r="CW69" s="50"/>
      <c r="CX69" s="105"/>
      <c r="CY69" s="71"/>
      <c r="CZ69" s="50"/>
      <c r="DA69" s="50"/>
      <c r="DB69" s="105"/>
      <c r="DC69" s="71"/>
      <c r="DD69" s="50"/>
      <c r="DE69" s="50"/>
      <c r="DF69" s="105"/>
      <c r="DG69" s="71"/>
      <c r="DH69" s="50"/>
      <c r="DI69" s="50"/>
      <c r="DJ69" s="50"/>
      <c r="DK69" s="105"/>
      <c r="DL69" s="71"/>
      <c r="DM69" s="50"/>
      <c r="DN69" s="50"/>
      <c r="DO69" s="105"/>
      <c r="DP69" s="71"/>
      <c r="DQ69" s="50"/>
      <c r="DR69" s="50"/>
      <c r="DS69" s="105"/>
      <c r="DT69" s="71"/>
      <c r="DU69" s="50"/>
      <c r="DV69" s="50"/>
      <c r="DW69" s="50"/>
      <c r="DX69" s="105"/>
      <c r="DY69" s="71"/>
      <c r="DZ69" s="50"/>
      <c r="EA69" s="50"/>
      <c r="EB69" s="50"/>
    </row>
    <row r="70" spans="2:132" ht="18" customHeight="1" x14ac:dyDescent="0.35">
      <c r="B70" s="238"/>
      <c r="C70" s="239"/>
      <c r="D70" s="8"/>
      <c r="E70" s="234"/>
      <c r="F70" s="234"/>
      <c r="G70" s="223"/>
      <c r="H70" s="10"/>
      <c r="K70" s="5"/>
      <c r="P70" s="18"/>
      <c r="Q70" s="19"/>
      <c r="R70" s="19"/>
      <c r="S70" s="20"/>
      <c r="T70" s="18"/>
      <c r="U70" s="19"/>
      <c r="V70" s="19"/>
      <c r="W70" s="20"/>
      <c r="X70" s="18"/>
      <c r="Y70" s="19"/>
      <c r="Z70" s="19"/>
      <c r="AA70" s="38"/>
      <c r="AB70" s="20"/>
      <c r="AC70" s="18"/>
      <c r="AD70" s="19"/>
      <c r="AE70" s="19"/>
      <c r="AF70" s="20"/>
      <c r="AG70" s="18"/>
      <c r="AH70" s="19"/>
      <c r="AI70" s="19"/>
      <c r="AJ70" s="20"/>
      <c r="AK70" s="18"/>
      <c r="AL70" s="19"/>
      <c r="AM70" s="19"/>
      <c r="AN70" s="19"/>
      <c r="AO70" s="20"/>
      <c r="AP70" s="18"/>
      <c r="AQ70" s="19"/>
      <c r="AR70" s="19"/>
      <c r="AS70" s="20"/>
      <c r="AT70" s="49"/>
      <c r="AU70" s="50"/>
      <c r="AV70" s="50"/>
      <c r="AW70" s="55"/>
      <c r="AX70" s="62"/>
      <c r="AY70" s="50"/>
      <c r="AZ70" s="50"/>
      <c r="BA70" s="63"/>
      <c r="BB70" s="58"/>
      <c r="BC70" s="50"/>
      <c r="BD70" s="50"/>
      <c r="BE70" s="70"/>
      <c r="BF70" s="71"/>
      <c r="BG70" s="50"/>
      <c r="BH70" s="50"/>
      <c r="BI70" s="50"/>
      <c r="BJ70" s="55"/>
      <c r="BK70" s="62"/>
      <c r="BL70" s="50"/>
      <c r="BM70" s="50"/>
      <c r="BN70" s="63"/>
      <c r="BO70" s="58"/>
      <c r="BP70" s="50"/>
      <c r="BQ70" s="50"/>
      <c r="BR70" s="55"/>
      <c r="BS70" s="62"/>
      <c r="BT70" s="50"/>
      <c r="BU70" s="50"/>
      <c r="BV70" s="50"/>
      <c r="BW70" s="70"/>
      <c r="BX70" s="71"/>
      <c r="BY70" s="50"/>
      <c r="BZ70" s="50"/>
      <c r="CA70" s="50"/>
      <c r="CB70" s="50"/>
      <c r="CC70" s="71"/>
      <c r="CD70" s="50"/>
      <c r="CE70" s="50"/>
      <c r="CF70" s="50"/>
      <c r="CG70" s="71"/>
      <c r="CH70" s="50"/>
      <c r="CI70" s="50"/>
      <c r="CJ70" s="50"/>
      <c r="CK70" s="50"/>
      <c r="CL70" s="71"/>
      <c r="CM70" s="50"/>
      <c r="CN70" s="50"/>
      <c r="CO70" s="105"/>
      <c r="CP70" s="71"/>
      <c r="CQ70" s="50"/>
      <c r="CR70" s="50"/>
      <c r="CS70" s="105"/>
      <c r="CT70" s="71"/>
      <c r="CU70" s="58"/>
      <c r="CV70" s="50"/>
      <c r="CW70" s="50"/>
      <c r="CX70" s="105"/>
      <c r="CY70" s="71"/>
      <c r="CZ70" s="50"/>
      <c r="DA70" s="50"/>
      <c r="DB70" s="105"/>
      <c r="DC70" s="71"/>
      <c r="DD70" s="50"/>
      <c r="DE70" s="50"/>
      <c r="DF70" s="105"/>
      <c r="DG70" s="71"/>
      <c r="DH70" s="50"/>
      <c r="DI70" s="50"/>
      <c r="DJ70" s="50"/>
      <c r="DK70" s="105"/>
      <c r="DL70" s="71"/>
      <c r="DM70" s="50"/>
      <c r="DN70" s="50"/>
      <c r="DO70" s="105"/>
      <c r="DP70" s="71"/>
      <c r="DQ70" s="50"/>
      <c r="DR70" s="50"/>
      <c r="DS70" s="105"/>
      <c r="DT70" s="71"/>
      <c r="DU70" s="50"/>
      <c r="DV70" s="50"/>
      <c r="DW70" s="50"/>
      <c r="DX70" s="105"/>
      <c r="DY70" s="71"/>
      <c r="DZ70" s="50"/>
      <c r="EA70" s="50"/>
      <c r="EB70" s="50"/>
    </row>
    <row r="71" spans="2:132" ht="18" customHeight="1" x14ac:dyDescent="0.35">
      <c r="B71" s="238"/>
      <c r="C71" s="239"/>
      <c r="D71" s="8"/>
      <c r="E71" s="234"/>
      <c r="F71" s="234"/>
      <c r="G71" s="223"/>
      <c r="H71" s="10"/>
      <c r="K71" s="5"/>
      <c r="P71" s="18"/>
      <c r="Q71" s="19"/>
      <c r="R71" s="19"/>
      <c r="S71" s="20"/>
      <c r="T71" s="18"/>
      <c r="U71" s="19"/>
      <c r="V71" s="19"/>
      <c r="W71" s="20"/>
      <c r="X71" s="18"/>
      <c r="Y71" s="19"/>
      <c r="Z71" s="19"/>
      <c r="AA71" s="38"/>
      <c r="AB71" s="20"/>
      <c r="AC71" s="18"/>
      <c r="AD71" s="19"/>
      <c r="AE71" s="19"/>
      <c r="AF71" s="20"/>
      <c r="AG71" s="18"/>
      <c r="AH71" s="19"/>
      <c r="AI71" s="19"/>
      <c r="AJ71" s="20"/>
      <c r="AK71" s="18"/>
      <c r="AL71" s="19"/>
      <c r="AM71" s="19"/>
      <c r="AN71" s="19"/>
      <c r="AO71" s="20"/>
      <c r="AP71" s="18"/>
      <c r="AQ71" s="19"/>
      <c r="AR71" s="19"/>
      <c r="AS71" s="20"/>
      <c r="AT71" s="49"/>
      <c r="AU71" s="50"/>
      <c r="AV71" s="50"/>
      <c r="AW71" s="55"/>
      <c r="AX71" s="62"/>
      <c r="AY71" s="50"/>
      <c r="AZ71" s="50"/>
      <c r="BA71" s="63"/>
      <c r="BB71" s="58"/>
      <c r="BC71" s="50"/>
      <c r="BD71" s="50"/>
      <c r="BE71" s="70"/>
      <c r="BF71" s="71"/>
      <c r="BG71" s="50"/>
      <c r="BH71" s="50"/>
      <c r="BI71" s="50"/>
      <c r="BJ71" s="55"/>
      <c r="BK71" s="62"/>
      <c r="BL71" s="50"/>
      <c r="BM71" s="50"/>
      <c r="BN71" s="63"/>
      <c r="BO71" s="58"/>
      <c r="BP71" s="50"/>
      <c r="BQ71" s="50"/>
      <c r="BR71" s="55"/>
      <c r="BS71" s="62"/>
      <c r="BT71" s="50"/>
      <c r="BU71" s="50"/>
      <c r="BV71" s="50"/>
      <c r="BW71" s="70"/>
      <c r="BX71" s="71"/>
      <c r="BY71" s="50"/>
      <c r="BZ71" s="50"/>
      <c r="CA71" s="50"/>
      <c r="CB71" s="50"/>
      <c r="CC71" s="71"/>
      <c r="CD71" s="50"/>
      <c r="CE71" s="50"/>
      <c r="CF71" s="50"/>
      <c r="CG71" s="71"/>
      <c r="CH71" s="50"/>
      <c r="CI71" s="50"/>
      <c r="CJ71" s="50"/>
      <c r="CK71" s="50"/>
      <c r="CL71" s="71"/>
      <c r="CM71" s="50"/>
      <c r="CN71" s="50"/>
      <c r="CO71" s="105"/>
      <c r="CP71" s="71"/>
      <c r="CQ71" s="50"/>
      <c r="CR71" s="50"/>
      <c r="CS71" s="105"/>
      <c r="CT71" s="71"/>
      <c r="CU71" s="58"/>
      <c r="CV71" s="50"/>
      <c r="CW71" s="50"/>
      <c r="CX71" s="105"/>
      <c r="CY71" s="71"/>
      <c r="CZ71" s="50"/>
      <c r="DA71" s="50"/>
      <c r="DB71" s="105"/>
      <c r="DC71" s="71"/>
      <c r="DD71" s="50"/>
      <c r="DE71" s="50"/>
      <c r="DF71" s="105"/>
      <c r="DG71" s="71"/>
      <c r="DH71" s="50"/>
      <c r="DI71" s="50"/>
      <c r="DJ71" s="50"/>
      <c r="DK71" s="105"/>
      <c r="DL71" s="71"/>
      <c r="DM71" s="50"/>
      <c r="DN71" s="50"/>
      <c r="DO71" s="105"/>
      <c r="DP71" s="71"/>
      <c r="DQ71" s="50"/>
      <c r="DR71" s="50"/>
      <c r="DS71" s="105"/>
      <c r="DT71" s="71"/>
      <c r="DU71" s="50"/>
      <c r="DV71" s="50"/>
      <c r="DW71" s="50"/>
      <c r="DX71" s="105"/>
      <c r="DY71" s="71"/>
      <c r="DZ71" s="50"/>
      <c r="EA71" s="50"/>
      <c r="EB71" s="50"/>
    </row>
    <row r="72" spans="2:132" ht="18" customHeight="1" x14ac:dyDescent="0.35">
      <c r="B72" s="238"/>
      <c r="C72" s="239"/>
      <c r="D72" s="8"/>
      <c r="E72" s="234"/>
      <c r="F72" s="234"/>
      <c r="G72" s="223"/>
      <c r="H72" s="10"/>
      <c r="K72" s="5"/>
      <c r="P72" s="18"/>
      <c r="Q72" s="19"/>
      <c r="R72" s="19"/>
      <c r="S72" s="20"/>
      <c r="T72" s="18"/>
      <c r="U72" s="19"/>
      <c r="V72" s="19"/>
      <c r="W72" s="20"/>
      <c r="X72" s="18"/>
      <c r="Y72" s="19"/>
      <c r="Z72" s="19"/>
      <c r="AA72" s="38"/>
      <c r="AB72" s="20"/>
      <c r="AC72" s="18"/>
      <c r="AD72" s="19"/>
      <c r="AE72" s="19"/>
      <c r="AF72" s="20"/>
      <c r="AG72" s="18"/>
      <c r="AH72" s="19"/>
      <c r="AI72" s="19"/>
      <c r="AJ72" s="20"/>
      <c r="AK72" s="18"/>
      <c r="AL72" s="19"/>
      <c r="AM72" s="19"/>
      <c r="AN72" s="19"/>
      <c r="AO72" s="20"/>
      <c r="AP72" s="18"/>
      <c r="AQ72" s="19"/>
      <c r="AR72" s="19"/>
      <c r="AS72" s="20"/>
      <c r="AT72" s="49"/>
      <c r="AU72" s="50"/>
      <c r="AV72" s="50"/>
      <c r="AW72" s="55"/>
      <c r="AX72" s="62"/>
      <c r="AY72" s="50"/>
      <c r="AZ72" s="50"/>
      <c r="BA72" s="63"/>
      <c r="BB72" s="58"/>
      <c r="BC72" s="50"/>
      <c r="BD72" s="50"/>
      <c r="BE72" s="70"/>
      <c r="BF72" s="71"/>
      <c r="BG72" s="50"/>
      <c r="BH72" s="50"/>
      <c r="BI72" s="50"/>
      <c r="BJ72" s="55"/>
      <c r="BK72" s="62"/>
      <c r="BL72" s="50"/>
      <c r="BM72" s="50"/>
      <c r="BN72" s="63"/>
      <c r="BO72" s="58"/>
      <c r="BP72" s="50"/>
      <c r="BQ72" s="50"/>
      <c r="BR72" s="55"/>
      <c r="BS72" s="62"/>
      <c r="BT72" s="50"/>
      <c r="BU72" s="50"/>
      <c r="BV72" s="50"/>
      <c r="BW72" s="70"/>
      <c r="BX72" s="71"/>
      <c r="BY72" s="50"/>
      <c r="BZ72" s="50"/>
      <c r="CA72" s="50"/>
      <c r="CB72" s="50"/>
      <c r="CC72" s="71"/>
      <c r="CD72" s="50"/>
      <c r="CE72" s="50"/>
      <c r="CF72" s="50"/>
      <c r="CG72" s="71"/>
      <c r="CH72" s="50"/>
      <c r="CI72" s="50"/>
      <c r="CJ72" s="50"/>
      <c r="CK72" s="50"/>
      <c r="CL72" s="71"/>
      <c r="CM72" s="50"/>
      <c r="CN72" s="50"/>
      <c r="CO72" s="105"/>
      <c r="CP72" s="71"/>
      <c r="CQ72" s="50"/>
      <c r="CR72" s="50"/>
      <c r="CS72" s="105"/>
      <c r="CT72" s="71"/>
      <c r="CU72" s="58"/>
      <c r="CV72" s="50"/>
      <c r="CW72" s="50"/>
      <c r="CX72" s="105"/>
      <c r="CY72" s="71"/>
      <c r="CZ72" s="50"/>
      <c r="DA72" s="50"/>
      <c r="DB72" s="105"/>
      <c r="DC72" s="71"/>
      <c r="DD72" s="50"/>
      <c r="DE72" s="50"/>
      <c r="DF72" s="105"/>
      <c r="DG72" s="71"/>
      <c r="DH72" s="50"/>
      <c r="DJ72" s="50"/>
      <c r="DK72" s="105"/>
      <c r="DL72" s="71"/>
      <c r="DM72" s="50"/>
      <c r="DN72" s="50"/>
      <c r="DO72" s="105"/>
      <c r="DP72" s="71"/>
      <c r="DQ72" s="50"/>
      <c r="DR72" s="50"/>
      <c r="DS72" s="105"/>
      <c r="DT72" s="71"/>
      <c r="DU72" s="50"/>
      <c r="DV72" s="50"/>
      <c r="DW72" s="50"/>
      <c r="DX72" s="105"/>
      <c r="DY72" s="71"/>
      <c r="DZ72" s="50"/>
      <c r="EA72" s="50"/>
      <c r="EB72" s="50"/>
    </row>
    <row r="73" spans="2:132" ht="18" customHeight="1" x14ac:dyDescent="0.35">
      <c r="B73" s="238"/>
      <c r="C73" s="239"/>
      <c r="D73" s="8"/>
      <c r="E73" s="235"/>
      <c r="F73" s="235"/>
      <c r="G73" s="223"/>
      <c r="H73" s="10"/>
      <c r="K73" s="5"/>
      <c r="P73" s="18"/>
      <c r="Q73" s="19"/>
      <c r="R73" s="19"/>
      <c r="S73" s="20"/>
      <c r="T73" s="18"/>
      <c r="U73" s="19"/>
      <c r="V73" s="19"/>
      <c r="W73" s="20"/>
      <c r="X73" s="18"/>
      <c r="Y73" s="19"/>
      <c r="Z73" s="19"/>
      <c r="AA73" s="38"/>
      <c r="AB73" s="20"/>
      <c r="AC73" s="18"/>
      <c r="AD73" s="19"/>
      <c r="AE73" s="19"/>
      <c r="AF73" s="20"/>
      <c r="AG73" s="18"/>
      <c r="AH73" s="19"/>
      <c r="AI73" s="19"/>
      <c r="AJ73" s="20"/>
      <c r="AK73" s="18"/>
      <c r="AL73" s="19"/>
      <c r="AM73" s="19"/>
      <c r="AN73" s="19"/>
      <c r="AO73" s="20"/>
      <c r="AP73" s="18"/>
      <c r="AQ73" s="19"/>
      <c r="AR73" s="19"/>
      <c r="AS73" s="20"/>
      <c r="AT73" s="49"/>
      <c r="AU73" s="50"/>
      <c r="AV73" s="50"/>
      <c r="AW73" s="55"/>
      <c r="AX73" s="62"/>
      <c r="AY73" s="50"/>
      <c r="AZ73" s="50"/>
      <c r="BA73" s="63"/>
      <c r="BB73" s="58"/>
      <c r="BC73" s="50"/>
      <c r="BD73" s="50"/>
      <c r="BE73" s="70"/>
      <c r="BF73" s="71"/>
      <c r="BG73" s="50"/>
      <c r="BH73" s="50"/>
      <c r="BI73" s="50"/>
      <c r="BJ73" s="55"/>
      <c r="BK73" s="62"/>
      <c r="BL73" s="50"/>
      <c r="BM73" s="50"/>
      <c r="BN73" s="63"/>
      <c r="BO73" s="58"/>
      <c r="BP73" s="50"/>
      <c r="BQ73" s="50"/>
      <c r="BR73" s="55"/>
      <c r="BS73" s="62"/>
      <c r="BT73" s="50"/>
      <c r="BU73" s="50"/>
      <c r="BV73" s="50"/>
      <c r="BW73" s="70"/>
      <c r="BX73" s="71"/>
      <c r="BY73" s="50"/>
      <c r="BZ73" s="50"/>
      <c r="CA73" s="50"/>
      <c r="CB73" s="50"/>
      <c r="CC73" s="71"/>
      <c r="CD73" s="50"/>
      <c r="CE73" s="50"/>
      <c r="CF73" s="50"/>
      <c r="CG73" s="71"/>
      <c r="CH73" s="50"/>
      <c r="CI73" s="50"/>
      <c r="CJ73" s="50"/>
      <c r="CK73" s="50"/>
      <c r="CL73" s="71"/>
      <c r="CM73" s="50"/>
      <c r="CN73" s="50"/>
      <c r="CO73" s="105"/>
      <c r="CP73" s="71"/>
      <c r="CQ73" s="50"/>
      <c r="CR73" s="50"/>
      <c r="CS73" s="105"/>
      <c r="CT73" s="71"/>
      <c r="CU73" s="58"/>
      <c r="CV73" s="50"/>
      <c r="CW73" s="50"/>
      <c r="CX73" s="105"/>
      <c r="CY73" s="71"/>
      <c r="CZ73" s="50"/>
      <c r="DA73" s="50"/>
      <c r="DB73" s="105"/>
      <c r="DC73" s="71"/>
      <c r="DD73" s="50"/>
      <c r="DE73" s="50"/>
      <c r="DF73" s="105"/>
      <c r="DG73" s="71"/>
      <c r="DH73" s="50"/>
      <c r="DJ73" s="50"/>
      <c r="DK73" s="105"/>
      <c r="DL73" s="71"/>
      <c r="DM73" s="50"/>
      <c r="DN73" s="50"/>
      <c r="DO73" s="105"/>
      <c r="DP73" s="71"/>
      <c r="DQ73" s="50"/>
      <c r="DR73" s="50"/>
      <c r="DS73" s="105"/>
      <c r="DT73" s="71"/>
      <c r="DU73" s="50"/>
      <c r="DV73" s="50"/>
      <c r="DW73" s="50"/>
      <c r="DX73" s="105"/>
      <c r="DY73" s="71"/>
      <c r="DZ73" s="50"/>
      <c r="EA73" s="50"/>
      <c r="EB73" s="50"/>
    </row>
    <row r="74" spans="2:132" ht="18" customHeight="1" x14ac:dyDescent="0.35">
      <c r="B74" s="238"/>
      <c r="C74" s="239"/>
      <c r="D74" s="8"/>
      <c r="E74" s="235"/>
      <c r="F74" s="235"/>
      <c r="G74" s="223"/>
      <c r="H74" s="10"/>
      <c r="K74" s="5"/>
      <c r="P74" s="18"/>
      <c r="Q74" s="19"/>
      <c r="R74" s="19"/>
      <c r="S74" s="20"/>
      <c r="T74" s="18"/>
      <c r="U74" s="19"/>
      <c r="V74" s="19"/>
      <c r="W74" s="20"/>
      <c r="X74" s="18"/>
      <c r="Y74" s="19"/>
      <c r="Z74" s="19"/>
      <c r="AA74" s="38"/>
      <c r="AB74" s="20"/>
      <c r="AC74" s="18"/>
      <c r="AD74" s="19"/>
      <c r="AE74" s="19"/>
      <c r="AF74" s="20"/>
      <c r="AG74" s="18"/>
      <c r="AH74" s="19"/>
      <c r="AI74" s="19"/>
      <c r="AJ74" s="20"/>
      <c r="AK74" s="18"/>
      <c r="AL74" s="19"/>
      <c r="AM74" s="19"/>
      <c r="AN74" s="19"/>
      <c r="AO74" s="20"/>
      <c r="AP74" s="18"/>
      <c r="AQ74" s="19"/>
      <c r="AR74" s="19"/>
      <c r="AS74" s="20"/>
      <c r="AT74" s="49"/>
      <c r="AU74" s="50"/>
      <c r="AV74" s="50"/>
      <c r="AW74" s="55"/>
      <c r="AX74" s="62"/>
      <c r="AY74" s="50"/>
      <c r="AZ74" s="50"/>
      <c r="BA74" s="63"/>
      <c r="BB74" s="58"/>
      <c r="BC74" s="50"/>
      <c r="BD74" s="50"/>
      <c r="BE74" s="70"/>
      <c r="BF74" s="71"/>
      <c r="BG74" s="50"/>
      <c r="BH74" s="50"/>
      <c r="BI74" s="50"/>
      <c r="BJ74" s="55"/>
      <c r="BK74" s="62"/>
      <c r="BL74" s="50"/>
      <c r="BM74" s="50"/>
      <c r="BN74" s="63"/>
      <c r="BO74" s="58"/>
      <c r="BP74" s="50"/>
      <c r="BQ74" s="50"/>
      <c r="BR74" s="55"/>
      <c r="BS74" s="62"/>
      <c r="BT74" s="50"/>
      <c r="BU74" s="50"/>
      <c r="BV74" s="50"/>
      <c r="BW74" s="70"/>
      <c r="BX74" s="71"/>
      <c r="BY74" s="50"/>
      <c r="BZ74" s="50"/>
      <c r="CA74" s="50"/>
      <c r="CB74" s="50"/>
      <c r="CC74" s="71"/>
      <c r="CD74" s="50"/>
      <c r="CE74" s="50"/>
      <c r="CF74" s="50"/>
      <c r="CG74" s="71"/>
      <c r="CH74" s="50"/>
      <c r="CI74" s="50"/>
      <c r="CJ74" s="50"/>
      <c r="CK74" s="50"/>
      <c r="CL74" s="71"/>
      <c r="CM74" s="50"/>
      <c r="CN74" s="50"/>
      <c r="CO74" s="105"/>
      <c r="CP74" s="71"/>
      <c r="CQ74" s="50"/>
      <c r="CR74" s="50"/>
      <c r="CS74" s="105"/>
      <c r="CT74" s="71"/>
      <c r="CU74" s="58"/>
      <c r="CV74" s="50"/>
      <c r="CW74" s="50"/>
      <c r="CX74" s="105"/>
      <c r="CY74" s="71"/>
      <c r="CZ74" s="50"/>
      <c r="DA74" s="50"/>
      <c r="DB74" s="105"/>
      <c r="DC74" s="71"/>
      <c r="DD74" s="50"/>
      <c r="DE74" s="50"/>
      <c r="DF74" s="105"/>
      <c r="DG74" s="71"/>
      <c r="DH74" s="50"/>
      <c r="DI74" s="50"/>
      <c r="DJ74" s="50"/>
      <c r="DK74" s="105"/>
      <c r="DL74" s="71"/>
      <c r="DM74" s="50"/>
      <c r="DN74" s="50"/>
      <c r="DO74" s="105"/>
      <c r="DP74" s="71"/>
      <c r="DQ74" s="50"/>
      <c r="DR74" s="50"/>
      <c r="DS74" s="105"/>
      <c r="DT74" s="71"/>
      <c r="DU74" s="50"/>
      <c r="DV74" s="50"/>
      <c r="DW74" s="50"/>
      <c r="DX74" s="105"/>
      <c r="DY74" s="71"/>
      <c r="DZ74" s="50"/>
      <c r="EA74" s="50"/>
      <c r="EB74" s="50"/>
    </row>
    <row r="75" spans="2:132" ht="18" customHeight="1" x14ac:dyDescent="0.35">
      <c r="B75" s="238"/>
      <c r="C75" s="239"/>
      <c r="D75" s="8"/>
      <c r="E75" s="235"/>
      <c r="F75" s="235"/>
      <c r="G75" s="223"/>
      <c r="H75" s="10"/>
      <c r="K75" s="5"/>
      <c r="P75" s="18"/>
      <c r="Q75" s="19"/>
      <c r="R75" s="19"/>
      <c r="S75" s="20"/>
      <c r="T75" s="18"/>
      <c r="U75" s="19"/>
      <c r="V75" s="19"/>
      <c r="W75" s="20"/>
      <c r="X75" s="18"/>
      <c r="Y75" s="19"/>
      <c r="Z75" s="19"/>
      <c r="AA75" s="38"/>
      <c r="AB75" s="20"/>
      <c r="AC75" s="18"/>
      <c r="AD75" s="19"/>
      <c r="AE75" s="19"/>
      <c r="AF75" s="20"/>
      <c r="AG75" s="18"/>
      <c r="AH75" s="19"/>
      <c r="AI75" s="19"/>
      <c r="AJ75" s="20"/>
      <c r="AK75" s="18"/>
      <c r="AL75" s="19"/>
      <c r="AM75" s="19"/>
      <c r="AN75" s="19"/>
      <c r="AO75" s="20"/>
      <c r="AP75" s="18"/>
      <c r="AQ75" s="19"/>
      <c r="AR75" s="19"/>
      <c r="AS75" s="20"/>
      <c r="AT75" s="49"/>
      <c r="AU75" s="50"/>
      <c r="AV75" s="50"/>
      <c r="AW75" s="55"/>
      <c r="AX75" s="62"/>
      <c r="AY75" s="50"/>
      <c r="AZ75" s="50"/>
      <c r="BA75" s="63"/>
      <c r="BB75" s="58"/>
      <c r="BC75" s="50"/>
      <c r="BD75" s="50"/>
      <c r="BE75" s="70"/>
      <c r="BF75" s="71"/>
      <c r="BG75" s="50"/>
      <c r="BH75" s="50"/>
      <c r="BI75" s="50"/>
      <c r="BJ75" s="55"/>
      <c r="BK75" s="62"/>
      <c r="BL75" s="50"/>
      <c r="BM75" s="50"/>
      <c r="BN75" s="63"/>
      <c r="BO75" s="58"/>
      <c r="BP75" s="50"/>
      <c r="BQ75" s="50"/>
      <c r="BR75" s="55"/>
      <c r="BS75" s="62"/>
      <c r="BT75" s="50"/>
      <c r="BU75" s="50"/>
      <c r="BV75" s="50"/>
      <c r="BW75" s="70"/>
      <c r="BX75" s="71"/>
      <c r="BY75" s="50"/>
      <c r="BZ75" s="50"/>
      <c r="CA75" s="50"/>
      <c r="CB75" s="50"/>
      <c r="CC75" s="71"/>
      <c r="CD75" s="50"/>
      <c r="CE75" s="50"/>
      <c r="CF75" s="50"/>
      <c r="CG75" s="71"/>
      <c r="CH75" s="50"/>
      <c r="CI75" s="50"/>
      <c r="CJ75" s="50"/>
      <c r="CK75" s="50"/>
      <c r="CL75" s="71"/>
      <c r="CM75" s="50"/>
      <c r="CN75" s="50"/>
      <c r="CO75" s="105"/>
      <c r="CP75" s="71"/>
      <c r="CQ75" s="50"/>
      <c r="CR75" s="50"/>
      <c r="CS75" s="105"/>
      <c r="CT75" s="71"/>
      <c r="CU75" s="58"/>
      <c r="CV75" s="50"/>
      <c r="CW75" s="50"/>
      <c r="CX75" s="105"/>
      <c r="CY75" s="71"/>
      <c r="CZ75" s="50"/>
      <c r="DA75" s="50"/>
      <c r="DB75" s="105"/>
      <c r="DC75" s="71"/>
      <c r="DD75" s="50"/>
      <c r="DE75" s="50"/>
      <c r="DF75" s="105"/>
      <c r="DG75" s="71"/>
      <c r="DH75" s="50"/>
      <c r="DI75" s="50"/>
      <c r="DJ75" s="50"/>
      <c r="DK75" s="105"/>
      <c r="DL75" s="71"/>
      <c r="DM75" s="50"/>
      <c r="DN75" s="50"/>
      <c r="DO75" s="105"/>
      <c r="DP75" s="71"/>
      <c r="DQ75" s="50"/>
      <c r="DR75" s="50"/>
      <c r="DS75" s="105"/>
      <c r="DT75" s="71"/>
      <c r="DU75" s="50"/>
      <c r="DV75" s="50"/>
      <c r="DW75" s="50"/>
      <c r="DX75" s="105"/>
      <c r="DY75" s="71"/>
      <c r="DZ75" s="50"/>
      <c r="EA75" s="50"/>
      <c r="EB75" s="50"/>
    </row>
    <row r="76" spans="2:132" ht="18" customHeight="1" x14ac:dyDescent="0.35">
      <c r="B76" s="238"/>
      <c r="C76" s="239"/>
      <c r="D76" s="8"/>
      <c r="E76" s="235"/>
      <c r="F76" s="235"/>
      <c r="G76" s="223"/>
      <c r="H76" s="10"/>
      <c r="K76" s="5"/>
      <c r="P76" s="18"/>
      <c r="Q76" s="19"/>
      <c r="R76" s="19"/>
      <c r="S76" s="20"/>
      <c r="T76" s="18"/>
      <c r="U76" s="19"/>
      <c r="V76" s="19"/>
      <c r="W76" s="20"/>
      <c r="X76" s="18"/>
      <c r="Y76" s="19"/>
      <c r="Z76" s="19"/>
      <c r="AA76" s="38"/>
      <c r="AB76" s="20"/>
      <c r="AC76" s="18"/>
      <c r="AD76" s="19"/>
      <c r="AE76" s="19"/>
      <c r="AF76" s="20"/>
      <c r="AG76" s="18"/>
      <c r="AH76" s="19"/>
      <c r="AI76" s="19"/>
      <c r="AJ76" s="20"/>
      <c r="AK76" s="18"/>
      <c r="AL76" s="19"/>
      <c r="AM76" s="19"/>
      <c r="AN76" s="19"/>
      <c r="AO76" s="20"/>
      <c r="AP76" s="18"/>
      <c r="AQ76" s="19"/>
      <c r="AR76" s="19"/>
      <c r="AS76" s="20"/>
      <c r="AT76" s="49"/>
      <c r="AU76" s="50"/>
      <c r="AV76" s="50"/>
      <c r="AW76" s="55"/>
      <c r="AX76" s="62"/>
      <c r="AY76" s="50"/>
      <c r="AZ76" s="50"/>
      <c r="BA76" s="63"/>
      <c r="BB76" s="58"/>
      <c r="BC76" s="50"/>
      <c r="BD76" s="50"/>
      <c r="BE76" s="70"/>
      <c r="BF76" s="71"/>
      <c r="BG76" s="50"/>
      <c r="BH76" s="50"/>
      <c r="BI76" s="50"/>
      <c r="BJ76" s="55"/>
      <c r="BK76" s="62"/>
      <c r="BL76" s="50"/>
      <c r="BM76" s="50"/>
      <c r="BN76" s="63"/>
      <c r="BO76" s="58"/>
      <c r="BP76" s="50"/>
      <c r="BQ76" s="50"/>
      <c r="BR76" s="55"/>
      <c r="BS76" s="62"/>
      <c r="BT76" s="50"/>
      <c r="BU76" s="50"/>
      <c r="BV76" s="50"/>
      <c r="BW76" s="70"/>
      <c r="BX76" s="71"/>
      <c r="BY76" s="50"/>
      <c r="BZ76" s="50"/>
      <c r="CA76" s="50"/>
      <c r="CB76" s="50"/>
      <c r="CC76" s="71"/>
      <c r="CD76" s="50"/>
      <c r="CE76" s="50"/>
      <c r="CF76" s="50"/>
      <c r="CG76" s="71"/>
      <c r="CH76" s="50"/>
      <c r="CI76" s="50"/>
      <c r="CJ76" s="50"/>
      <c r="CK76" s="50"/>
      <c r="CL76" s="71"/>
      <c r="CM76" s="50"/>
      <c r="CN76" s="50"/>
      <c r="CO76" s="105"/>
      <c r="CP76" s="71"/>
      <c r="CQ76" s="50"/>
      <c r="CR76" s="50"/>
      <c r="CS76" s="105"/>
      <c r="CT76" s="71"/>
      <c r="CU76" s="58"/>
      <c r="CV76" s="50"/>
      <c r="CW76" s="50"/>
      <c r="CX76" s="105"/>
      <c r="CY76" s="71"/>
      <c r="CZ76" s="50"/>
      <c r="DA76" s="50"/>
      <c r="DB76" s="105"/>
      <c r="DC76" s="71"/>
      <c r="DD76" s="50"/>
      <c r="DE76" s="50"/>
      <c r="DF76" s="105"/>
      <c r="DG76" s="71"/>
      <c r="DH76" s="50"/>
      <c r="DI76" s="50"/>
      <c r="DJ76" s="50"/>
      <c r="DK76" s="105"/>
      <c r="DL76" s="71"/>
      <c r="DM76" s="50"/>
      <c r="DN76" s="50"/>
      <c r="DO76" s="105"/>
      <c r="DP76" s="71"/>
      <c r="DQ76" s="50"/>
      <c r="DR76" s="50"/>
      <c r="DS76" s="105"/>
      <c r="DT76" s="71"/>
      <c r="DU76" s="50"/>
      <c r="DV76" s="50"/>
      <c r="DW76" s="50"/>
      <c r="DX76" s="105"/>
      <c r="DY76" s="71"/>
      <c r="DZ76" s="50"/>
      <c r="EA76" s="50"/>
      <c r="EB76" s="50"/>
    </row>
    <row r="77" spans="2:132" ht="18" customHeight="1" x14ac:dyDescent="0.35">
      <c r="B77" s="238"/>
      <c r="C77" s="239"/>
      <c r="D77" s="8"/>
      <c r="E77" s="235"/>
      <c r="F77" s="235"/>
      <c r="G77" s="223"/>
      <c r="H77" s="10"/>
      <c r="K77" s="5"/>
      <c r="P77" s="18"/>
      <c r="Q77" s="19"/>
      <c r="R77" s="19"/>
      <c r="S77" s="20"/>
      <c r="T77" s="18"/>
      <c r="U77" s="19"/>
      <c r="V77" s="19"/>
      <c r="W77" s="20"/>
      <c r="X77" s="18"/>
      <c r="Y77" s="19"/>
      <c r="Z77" s="19"/>
      <c r="AA77" s="38"/>
      <c r="AB77" s="20"/>
      <c r="AC77" s="18"/>
      <c r="AD77" s="19"/>
      <c r="AE77" s="19"/>
      <c r="AF77" s="20"/>
      <c r="AG77" s="18"/>
      <c r="AH77" s="19"/>
      <c r="AI77" s="19"/>
      <c r="AJ77" s="20"/>
      <c r="AK77" s="18"/>
      <c r="AL77" s="19"/>
      <c r="AM77" s="19"/>
      <c r="AN77" s="19"/>
      <c r="AO77" s="20"/>
      <c r="AP77" s="18"/>
      <c r="AQ77" s="19"/>
      <c r="AR77" s="19"/>
      <c r="AS77" s="20"/>
      <c r="AT77" s="49"/>
      <c r="AU77" s="50"/>
      <c r="AV77" s="50"/>
      <c r="AW77" s="55"/>
      <c r="AX77" s="62"/>
      <c r="AY77" s="50"/>
      <c r="AZ77" s="50"/>
      <c r="BA77" s="63"/>
      <c r="BB77" s="58"/>
      <c r="BC77" s="50"/>
      <c r="BD77" s="50"/>
      <c r="BE77" s="70"/>
      <c r="BF77" s="71"/>
      <c r="BG77" s="50"/>
      <c r="BH77" s="50"/>
      <c r="BI77" s="50"/>
      <c r="BJ77" s="55"/>
      <c r="BK77" s="62"/>
      <c r="BL77" s="50"/>
      <c r="BM77" s="50"/>
      <c r="BN77" s="63"/>
      <c r="BO77" s="58"/>
      <c r="BP77" s="50"/>
      <c r="BQ77" s="50"/>
      <c r="BR77" s="55"/>
      <c r="BS77" s="62"/>
      <c r="BT77" s="50"/>
      <c r="BU77" s="50"/>
      <c r="BV77" s="50"/>
      <c r="BW77" s="70"/>
      <c r="BX77" s="71"/>
      <c r="BY77" s="50"/>
      <c r="BZ77" s="50"/>
      <c r="CA77" s="50"/>
      <c r="CB77" s="50"/>
      <c r="CC77" s="71"/>
      <c r="CD77" s="50"/>
      <c r="CE77" s="50"/>
      <c r="CF77" s="50"/>
      <c r="CG77" s="71"/>
      <c r="CH77" s="50"/>
      <c r="CI77" s="50"/>
      <c r="CJ77" s="50"/>
      <c r="CK77" s="50"/>
      <c r="CL77" s="71"/>
      <c r="CM77" s="50"/>
      <c r="CN77" s="50"/>
      <c r="CO77" s="105"/>
      <c r="CP77" s="71"/>
      <c r="CQ77" s="50"/>
      <c r="CR77" s="50"/>
      <c r="CS77" s="105"/>
      <c r="CT77" s="71"/>
      <c r="CU77" s="58"/>
      <c r="CV77" s="50"/>
      <c r="CW77" s="50"/>
      <c r="CX77" s="105"/>
      <c r="CY77" s="71"/>
      <c r="CZ77" s="50"/>
      <c r="DA77" s="50"/>
      <c r="DB77" s="105"/>
      <c r="DC77" s="71"/>
      <c r="DD77" s="50"/>
      <c r="DE77" s="50"/>
      <c r="DF77" s="105"/>
      <c r="DG77" s="71"/>
      <c r="DH77" s="50"/>
      <c r="DI77" s="50"/>
      <c r="DJ77" s="50"/>
      <c r="DK77" s="105"/>
      <c r="DL77" s="71"/>
      <c r="DM77" s="50"/>
      <c r="DN77" s="50"/>
      <c r="DO77" s="105"/>
      <c r="DP77" s="71"/>
      <c r="DQ77" s="50"/>
      <c r="DR77" s="50"/>
      <c r="DS77" s="105"/>
      <c r="DT77" s="71"/>
      <c r="DU77" s="50"/>
      <c r="DV77" s="50"/>
      <c r="DW77" s="50"/>
      <c r="DX77" s="105"/>
      <c r="DY77" s="71"/>
      <c r="DZ77" s="50"/>
      <c r="EA77" s="50"/>
      <c r="EB77" s="50"/>
    </row>
    <row r="78" spans="2:132" ht="18" customHeight="1" x14ac:dyDescent="0.35">
      <c r="B78" s="238"/>
      <c r="C78" s="239"/>
      <c r="D78" s="8"/>
      <c r="E78" s="235"/>
      <c r="F78" s="235"/>
      <c r="G78" s="223"/>
      <c r="H78" s="10"/>
      <c r="K78" s="5"/>
      <c r="P78" s="18"/>
      <c r="Q78" s="19"/>
      <c r="R78" s="19"/>
      <c r="S78" s="20"/>
      <c r="T78" s="18"/>
      <c r="U78" s="19"/>
      <c r="V78" s="19"/>
      <c r="W78" s="20"/>
      <c r="X78" s="18"/>
      <c r="Y78" s="19"/>
      <c r="Z78" s="19"/>
      <c r="AA78" s="38"/>
      <c r="AB78" s="20"/>
      <c r="AC78" s="18"/>
      <c r="AD78" s="19"/>
      <c r="AE78" s="19"/>
      <c r="AF78" s="20"/>
      <c r="AG78" s="18"/>
      <c r="AH78" s="19"/>
      <c r="AI78" s="19"/>
      <c r="AJ78" s="20"/>
      <c r="AK78" s="18"/>
      <c r="AL78" s="19"/>
      <c r="AM78" s="19"/>
      <c r="AN78" s="19"/>
      <c r="AO78" s="20"/>
      <c r="AP78" s="18"/>
      <c r="AQ78" s="19"/>
      <c r="AR78" s="19"/>
      <c r="AS78" s="20"/>
      <c r="AT78" s="49"/>
      <c r="AU78" s="50"/>
      <c r="AV78" s="50"/>
      <c r="AW78" s="55"/>
      <c r="AX78" s="62"/>
      <c r="AY78" s="50"/>
      <c r="AZ78" s="50"/>
      <c r="BA78" s="63"/>
      <c r="BB78" s="58"/>
      <c r="BC78" s="50"/>
      <c r="BD78" s="50"/>
      <c r="BE78" s="70"/>
      <c r="BF78" s="71"/>
      <c r="BG78" s="50"/>
      <c r="BH78" s="50"/>
      <c r="BI78" s="50"/>
      <c r="BJ78" s="55"/>
      <c r="BK78" s="62"/>
      <c r="BL78" s="50"/>
      <c r="BM78" s="50"/>
      <c r="BN78" s="63"/>
      <c r="BO78" s="58"/>
      <c r="BP78" s="50"/>
      <c r="BQ78" s="50"/>
      <c r="BR78" s="55"/>
      <c r="BS78" s="62"/>
      <c r="BT78" s="50"/>
      <c r="BU78" s="50"/>
      <c r="BV78" s="50"/>
      <c r="BW78" s="70"/>
      <c r="BX78" s="71"/>
      <c r="BY78" s="50"/>
      <c r="BZ78" s="50"/>
      <c r="CA78" s="50"/>
      <c r="CB78" s="50"/>
      <c r="CC78" s="71"/>
      <c r="CD78" s="50"/>
      <c r="CE78" s="50"/>
      <c r="CF78" s="50"/>
      <c r="CG78" s="71"/>
      <c r="CH78" s="50"/>
      <c r="CI78" s="50"/>
      <c r="CJ78" s="50"/>
      <c r="CK78" s="50"/>
      <c r="CL78" s="71"/>
      <c r="CM78" s="50"/>
      <c r="CN78" s="50"/>
      <c r="CO78" s="105"/>
      <c r="CP78" s="71"/>
      <c r="CQ78" s="50"/>
      <c r="CR78" s="50"/>
      <c r="CS78" s="105"/>
      <c r="CT78" s="71"/>
      <c r="CU78" s="58"/>
      <c r="CV78" s="50"/>
      <c r="CW78" s="50"/>
      <c r="CX78" s="105"/>
      <c r="CY78" s="71"/>
      <c r="CZ78" s="50"/>
      <c r="DA78" s="50"/>
      <c r="DB78" s="105"/>
      <c r="DC78" s="71"/>
      <c r="DD78" s="50"/>
      <c r="DE78" s="50"/>
      <c r="DF78" s="105"/>
      <c r="DG78" s="71"/>
      <c r="DH78" s="50"/>
      <c r="DI78" s="50"/>
      <c r="DJ78" s="50"/>
      <c r="DK78" s="105"/>
      <c r="DL78" s="71"/>
      <c r="DM78" s="50"/>
      <c r="DN78" s="50"/>
      <c r="DO78" s="105"/>
      <c r="DP78" s="71"/>
      <c r="DQ78" s="50"/>
      <c r="DR78" s="50"/>
      <c r="DS78" s="105"/>
      <c r="DT78" s="71"/>
      <c r="DU78" s="50"/>
      <c r="DV78" s="50"/>
      <c r="DW78" s="50"/>
      <c r="DX78" s="105"/>
      <c r="DY78" s="71"/>
      <c r="DZ78" s="50"/>
      <c r="EA78" s="50"/>
      <c r="EB78" s="50"/>
    </row>
    <row r="79" spans="2:132" ht="18" customHeight="1" thickBot="1" x14ac:dyDescent="0.4">
      <c r="B79" s="238"/>
      <c r="C79" s="240"/>
      <c r="D79" s="13"/>
      <c r="E79" s="236"/>
      <c r="F79" s="236"/>
      <c r="G79" s="224"/>
      <c r="H79" s="15"/>
      <c r="I79" s="16"/>
      <c r="J79" s="16"/>
      <c r="K79" s="17"/>
      <c r="L79" s="16"/>
      <c r="M79" s="16"/>
      <c r="N79" s="16"/>
      <c r="O79" s="16"/>
      <c r="P79" s="27"/>
      <c r="Q79" s="28"/>
      <c r="R79" s="28"/>
      <c r="S79" s="29"/>
      <c r="T79" s="27"/>
      <c r="U79" s="28"/>
      <c r="V79" s="28"/>
      <c r="W79" s="29"/>
      <c r="X79" s="27"/>
      <c r="Y79" s="28"/>
      <c r="Z79" s="28"/>
      <c r="AA79" s="41"/>
      <c r="AB79" s="29"/>
      <c r="AC79" s="27"/>
      <c r="AD79" s="28"/>
      <c r="AE79" s="28"/>
      <c r="AF79" s="29"/>
      <c r="AG79" s="27"/>
      <c r="AH79" s="28"/>
      <c r="AI79" s="28"/>
      <c r="AJ79" s="29"/>
      <c r="AK79" s="27"/>
      <c r="AL79" s="28"/>
      <c r="AM79" s="28"/>
      <c r="AN79" s="28"/>
      <c r="AO79" s="29"/>
      <c r="AP79" s="27"/>
      <c r="AQ79" s="28"/>
      <c r="AR79" s="28"/>
      <c r="AS79" s="29"/>
      <c r="AT79" s="51"/>
      <c r="AU79" s="52"/>
      <c r="AV79" s="52"/>
      <c r="AW79" s="56"/>
      <c r="AX79" s="64"/>
      <c r="AY79" s="52"/>
      <c r="AZ79" s="52"/>
      <c r="BA79" s="65"/>
      <c r="BB79" s="59"/>
      <c r="BC79" s="52"/>
      <c r="BD79" s="52"/>
      <c r="BE79" s="72"/>
      <c r="BF79" s="73"/>
      <c r="BG79" s="52"/>
      <c r="BH79" s="52"/>
      <c r="BI79" s="52"/>
      <c r="BJ79" s="56"/>
      <c r="BK79" s="64"/>
      <c r="BL79" s="52"/>
      <c r="BM79" s="52"/>
      <c r="BN79" s="65"/>
      <c r="BO79" s="59"/>
      <c r="BP79" s="52"/>
      <c r="BQ79" s="52"/>
      <c r="BR79" s="56"/>
      <c r="BS79" s="64"/>
      <c r="BT79" s="52"/>
      <c r="BU79" s="52"/>
      <c r="BV79" s="52"/>
      <c r="BW79" s="72"/>
      <c r="BX79" s="73"/>
      <c r="BY79" s="52"/>
      <c r="BZ79" s="52"/>
      <c r="CA79" s="52"/>
      <c r="CB79" s="52"/>
      <c r="CC79" s="73"/>
      <c r="CD79" s="52"/>
      <c r="CE79" s="52"/>
      <c r="CF79" s="52"/>
      <c r="CG79" s="73"/>
      <c r="CH79" s="52"/>
      <c r="CI79" s="52"/>
      <c r="CJ79" s="52"/>
      <c r="CK79" s="52"/>
      <c r="CL79" s="73"/>
      <c r="CM79" s="52"/>
      <c r="CN79" s="52"/>
      <c r="CO79" s="106"/>
      <c r="CP79" s="73"/>
      <c r="CQ79" s="52"/>
      <c r="CR79" s="52"/>
      <c r="CS79" s="106"/>
      <c r="CT79" s="73"/>
      <c r="CU79" s="59"/>
      <c r="CV79" s="52"/>
      <c r="CW79" s="52"/>
      <c r="CX79" s="106"/>
      <c r="CY79" s="73"/>
      <c r="CZ79" s="52"/>
      <c r="DA79" s="52"/>
      <c r="DB79" s="106"/>
      <c r="DC79" s="73"/>
      <c r="DD79" s="52"/>
      <c r="DE79" s="52"/>
      <c r="DF79" s="106"/>
      <c r="DG79" s="73"/>
      <c r="DH79" s="52"/>
      <c r="DI79" s="52"/>
      <c r="DJ79" s="52"/>
      <c r="DK79" s="106"/>
      <c r="DL79" s="73"/>
      <c r="DM79" s="52"/>
      <c r="DN79" s="52"/>
      <c r="DO79" s="106"/>
      <c r="DP79" s="73"/>
      <c r="DQ79" s="52"/>
      <c r="DR79" s="52"/>
      <c r="DS79" s="106"/>
      <c r="DT79" s="73"/>
      <c r="DU79" s="52"/>
      <c r="DV79" s="52"/>
      <c r="DW79" s="52"/>
      <c r="DX79" s="106"/>
      <c r="DY79" s="73"/>
      <c r="DZ79" s="52"/>
      <c r="EA79" s="52"/>
      <c r="EB79" s="52"/>
    </row>
  </sheetData>
  <mergeCells count="98">
    <mergeCell ref="F6:F10"/>
    <mergeCell ref="G6:G10"/>
    <mergeCell ref="BB5:BE5"/>
    <mergeCell ref="DT5:DX5"/>
    <mergeCell ref="CL5:CO5"/>
    <mergeCell ref="CT5:CX5"/>
    <mergeCell ref="CY5:DB5"/>
    <mergeCell ref="DY5:EB5"/>
    <mergeCell ref="DL5:DO5"/>
    <mergeCell ref="DC5:DF5"/>
    <mergeCell ref="DG5:DK5"/>
    <mergeCell ref="CP5:CS5"/>
    <mergeCell ref="E20:E22"/>
    <mergeCell ref="F20:F22"/>
    <mergeCell ref="F35:F39"/>
    <mergeCell ref="F11:F13"/>
    <mergeCell ref="C14:C16"/>
    <mergeCell ref="E14:E16"/>
    <mergeCell ref="F14:F16"/>
    <mergeCell ref="B34:B39"/>
    <mergeCell ref="C34:C39"/>
    <mergeCell ref="D34:D39"/>
    <mergeCell ref="E35:E39"/>
    <mergeCell ref="C6:C10"/>
    <mergeCell ref="C29:C33"/>
    <mergeCell ref="E29:E33"/>
    <mergeCell ref="D24:D28"/>
    <mergeCell ref="E23:E28"/>
    <mergeCell ref="E6:E10"/>
    <mergeCell ref="C23:C28"/>
    <mergeCell ref="C17:C19"/>
    <mergeCell ref="C11:C13"/>
    <mergeCell ref="E11:E13"/>
    <mergeCell ref="E17:E19"/>
    <mergeCell ref="C20:C22"/>
    <mergeCell ref="X4:AB4"/>
    <mergeCell ref="AG4:AJ4"/>
    <mergeCell ref="H5:K5"/>
    <mergeCell ref="AC4:AF4"/>
    <mergeCell ref="P4:S4"/>
    <mergeCell ref="L4:O4"/>
    <mergeCell ref="H4:K4"/>
    <mergeCell ref="L5:O5"/>
    <mergeCell ref="P5:S5"/>
    <mergeCell ref="T5:W5"/>
    <mergeCell ref="D40:D46"/>
    <mergeCell ref="C40:C46"/>
    <mergeCell ref="E40:E46"/>
    <mergeCell ref="F29:F33"/>
    <mergeCell ref="F58:F68"/>
    <mergeCell ref="F40:F46"/>
    <mergeCell ref="BX4:CB4"/>
    <mergeCell ref="BS4:BW4"/>
    <mergeCell ref="BO4:BR4"/>
    <mergeCell ref="CG4:CK4"/>
    <mergeCell ref="BF4:BJ4"/>
    <mergeCell ref="BB4:BE4"/>
    <mergeCell ref="BK4:BN4"/>
    <mergeCell ref="T4:W4"/>
    <mergeCell ref="AK5:AO5"/>
    <mergeCell ref="AX4:BA4"/>
    <mergeCell ref="AT4:AW4"/>
    <mergeCell ref="AP4:AS4"/>
    <mergeCell ref="AK4:AO4"/>
    <mergeCell ref="X5:AB5"/>
    <mergeCell ref="AX5:BA5"/>
    <mergeCell ref="AG5:AJ5"/>
    <mergeCell ref="AC5:AF5"/>
    <mergeCell ref="BK5:BN5"/>
    <mergeCell ref="AP5:AS5"/>
    <mergeCell ref="BF5:BJ5"/>
    <mergeCell ref="AT5:AW5"/>
    <mergeCell ref="B40:B46"/>
    <mergeCell ref="F23:F28"/>
    <mergeCell ref="F17:F19"/>
    <mergeCell ref="G69:G79"/>
    <mergeCell ref="E47:E57"/>
    <mergeCell ref="F47:F57"/>
    <mergeCell ref="G47:G57"/>
    <mergeCell ref="E58:E68"/>
    <mergeCell ref="F69:F79"/>
    <mergeCell ref="B17:B33"/>
    <mergeCell ref="G58:G68"/>
    <mergeCell ref="B47:B79"/>
    <mergeCell ref="C47:C57"/>
    <mergeCell ref="C58:C68"/>
    <mergeCell ref="C69:C79"/>
    <mergeCell ref="E69:E79"/>
    <mergeCell ref="CC5:CF5"/>
    <mergeCell ref="G40:G46"/>
    <mergeCell ref="G29:G33"/>
    <mergeCell ref="DP5:DS5"/>
    <mergeCell ref="BX5:CB5"/>
    <mergeCell ref="BS5:BW5"/>
    <mergeCell ref="BO5:BR5"/>
    <mergeCell ref="CG5:CK5"/>
    <mergeCell ref="G24:G28"/>
    <mergeCell ref="G35:G39"/>
  </mergeCells>
  <pageMargins left="0" right="0" top="0.19685039370078741" bottom="0" header="0" footer="0"/>
  <pageSetup paperSize="8" scale="3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28F-DC5E-4441-BCAF-038856199021}">
  <dimension ref="A1"/>
  <sheetViews>
    <sheetView showGridLines="0" workbookViewId="0">
      <selection activeCell="C30" sqref="C3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96EC-3C49-4B34-9B81-F177593D7084}">
  <sheetPr>
    <pageSetUpPr fitToPage="1"/>
  </sheetPr>
  <dimension ref="A1:AQ7"/>
  <sheetViews>
    <sheetView showGridLines="0" view="pageBreakPreview" topLeftCell="B1" zoomScale="85" zoomScaleNormal="85" zoomScaleSheetLayoutView="85" workbookViewId="0">
      <pane xSplit="3" ySplit="2" topLeftCell="E5" activePane="bottomRight" state="frozen"/>
      <selection pane="topRight" activeCell="E11" sqref="E11:E15"/>
      <selection pane="bottomLeft" activeCell="E11" sqref="E11:E15"/>
      <selection pane="bottomRight" activeCell="D16" sqref="D16"/>
    </sheetView>
  </sheetViews>
  <sheetFormatPr defaultRowHeight="14.5" x14ac:dyDescent="0.35"/>
  <cols>
    <col min="1" max="1" width="21" hidden="1" customWidth="1"/>
    <col min="2" max="2" width="5" customWidth="1"/>
    <col min="3" max="3" width="66.81640625" customWidth="1"/>
    <col min="4" max="4" width="63.81640625" customWidth="1"/>
    <col min="5" max="42" width="4.7265625" customWidth="1"/>
    <col min="43" max="43" width="6.1796875" customWidth="1"/>
  </cols>
  <sheetData>
    <row r="1" spans="1:43" ht="81.75" customHeight="1" x14ac:dyDescent="0.35">
      <c r="C1" s="36">
        <f>3/19</f>
        <v>0.15789473684210525</v>
      </c>
      <c r="AM1" s="127" t="s">
        <v>71</v>
      </c>
      <c r="AN1" s="127"/>
      <c r="AO1" s="127"/>
      <c r="AP1" s="127"/>
    </row>
    <row r="2" spans="1:43" ht="19" thickBot="1" x14ac:dyDescent="0.5">
      <c r="B2" s="103"/>
      <c r="C2" s="126" t="s">
        <v>11</v>
      </c>
      <c r="D2" s="107" t="s">
        <v>72</v>
      </c>
      <c r="E2" s="277" t="s">
        <v>34</v>
      </c>
      <c r="F2" s="278"/>
      <c r="G2" s="278"/>
      <c r="H2" s="278"/>
      <c r="I2" s="277" t="s">
        <v>23</v>
      </c>
      <c r="J2" s="278"/>
      <c r="K2" s="278"/>
      <c r="L2" s="278"/>
      <c r="M2" s="277" t="s">
        <v>35</v>
      </c>
      <c r="N2" s="278"/>
      <c r="O2" s="278"/>
      <c r="P2" s="278"/>
      <c r="Q2" s="278"/>
      <c r="R2" s="277" t="s">
        <v>36</v>
      </c>
      <c r="S2" s="278"/>
      <c r="T2" s="278"/>
      <c r="U2" s="278"/>
      <c r="V2" s="277" t="s">
        <v>26</v>
      </c>
      <c r="W2" s="278"/>
      <c r="X2" s="278"/>
      <c r="Y2" s="278"/>
      <c r="Z2" s="277" t="s">
        <v>37</v>
      </c>
      <c r="AA2" s="278"/>
      <c r="AB2" s="278"/>
      <c r="AC2" s="278"/>
      <c r="AD2" s="278"/>
      <c r="AE2" s="277" t="s">
        <v>28</v>
      </c>
      <c r="AF2" s="278"/>
      <c r="AG2" s="278"/>
      <c r="AH2" s="278"/>
      <c r="AI2" s="277" t="s">
        <v>29</v>
      </c>
      <c r="AJ2" s="278"/>
      <c r="AK2" s="278"/>
      <c r="AL2" s="278"/>
      <c r="AM2" s="277" t="s">
        <v>30</v>
      </c>
      <c r="AN2" s="278"/>
      <c r="AO2" s="278"/>
      <c r="AP2" s="278"/>
      <c r="AQ2" s="102"/>
    </row>
    <row r="3" spans="1:43" s="104" customFormat="1" ht="18" customHeight="1" x14ac:dyDescent="0.35">
      <c r="A3" s="279" t="s">
        <v>73</v>
      </c>
      <c r="B3" s="279"/>
      <c r="C3" s="280" t="s">
        <v>74</v>
      </c>
      <c r="D3" s="280" t="s">
        <v>75</v>
      </c>
      <c r="E3" s="74"/>
      <c r="F3" s="53"/>
      <c r="G3" s="53"/>
      <c r="H3" s="53"/>
      <c r="I3" s="74"/>
      <c r="J3" s="53"/>
      <c r="K3" s="53"/>
      <c r="L3" s="53"/>
      <c r="M3" s="74"/>
      <c r="N3" s="67"/>
      <c r="O3" s="53"/>
      <c r="P3" s="53"/>
      <c r="Q3" s="66"/>
      <c r="R3" s="74"/>
      <c r="S3" s="53"/>
      <c r="T3" s="53"/>
      <c r="U3" s="75"/>
      <c r="V3" s="74"/>
      <c r="W3" s="53"/>
      <c r="X3" s="53"/>
      <c r="Y3" s="75"/>
      <c r="Z3" s="74"/>
      <c r="AA3" s="53"/>
      <c r="AB3" s="53"/>
      <c r="AC3" s="53"/>
      <c r="AD3" s="75"/>
      <c r="AE3" s="74"/>
      <c r="AF3" s="53"/>
      <c r="AG3" s="53"/>
      <c r="AH3" s="75"/>
      <c r="AI3" s="74"/>
      <c r="AJ3" s="53"/>
      <c r="AK3" s="53"/>
      <c r="AL3" s="75"/>
      <c r="AM3" s="74"/>
      <c r="AN3" s="53"/>
      <c r="AO3" s="53"/>
      <c r="AP3" s="66"/>
      <c r="AQ3" s="102"/>
    </row>
    <row r="4" spans="1:43" ht="18" customHeight="1" x14ac:dyDescent="0.35">
      <c r="A4" s="279"/>
      <c r="B4" s="279"/>
      <c r="C4" s="281"/>
      <c r="D4" s="281"/>
      <c r="E4" s="71"/>
      <c r="F4" s="50"/>
      <c r="G4" s="50"/>
      <c r="H4" s="50"/>
      <c r="I4" s="71"/>
      <c r="J4" s="50"/>
      <c r="K4" s="50"/>
      <c r="L4" s="50"/>
      <c r="M4" s="71"/>
      <c r="N4" s="58"/>
      <c r="O4" s="50"/>
      <c r="P4" s="50"/>
      <c r="Q4" s="55"/>
      <c r="R4" s="71"/>
      <c r="S4" s="50"/>
      <c r="T4" s="50"/>
      <c r="U4" s="70"/>
      <c r="V4" s="71"/>
      <c r="W4" s="50"/>
      <c r="X4" s="50"/>
      <c r="Y4" s="70"/>
      <c r="Z4" s="71"/>
      <c r="AA4" s="50"/>
      <c r="AB4" s="50"/>
      <c r="AC4" s="50"/>
      <c r="AD4" s="70"/>
      <c r="AE4" s="71"/>
      <c r="AF4" s="50"/>
      <c r="AG4" s="50"/>
      <c r="AH4" s="70"/>
      <c r="AI4" s="71"/>
      <c r="AJ4" s="50"/>
      <c r="AK4" s="50"/>
      <c r="AL4" s="70"/>
      <c r="AM4" s="71"/>
      <c r="AN4" s="50"/>
      <c r="AO4" s="50"/>
      <c r="AP4" s="55"/>
      <c r="AQ4" s="102"/>
    </row>
    <row r="5" spans="1:43" ht="21.75" customHeight="1" x14ac:dyDescent="0.35">
      <c r="A5" s="279"/>
      <c r="B5" s="279"/>
      <c r="C5" s="281"/>
      <c r="D5" s="281"/>
      <c r="E5" s="71"/>
      <c r="F5" s="50"/>
      <c r="G5" s="50"/>
      <c r="H5" s="50"/>
      <c r="I5" s="71"/>
      <c r="J5" s="50"/>
      <c r="K5" s="50"/>
      <c r="L5" s="50"/>
      <c r="M5" s="71"/>
      <c r="N5" s="58"/>
      <c r="O5" s="50"/>
      <c r="P5" s="50"/>
      <c r="Q5" s="55"/>
      <c r="R5" s="71"/>
      <c r="S5" s="50"/>
      <c r="T5" s="50"/>
      <c r="U5" s="70"/>
      <c r="V5" s="71"/>
      <c r="W5" s="50"/>
      <c r="X5" s="50"/>
      <c r="Y5" s="70"/>
      <c r="Z5" s="71"/>
      <c r="AA5" s="50"/>
      <c r="AB5" s="50"/>
      <c r="AC5" s="50"/>
      <c r="AD5" s="70"/>
      <c r="AE5" s="71"/>
      <c r="AF5" s="50"/>
      <c r="AG5" s="50"/>
      <c r="AH5" s="70"/>
      <c r="AI5" s="71"/>
      <c r="AJ5" s="50"/>
      <c r="AK5" s="50"/>
      <c r="AL5" s="70"/>
      <c r="AM5" s="71"/>
      <c r="AN5" s="50"/>
      <c r="AO5" s="50"/>
      <c r="AP5" s="55"/>
      <c r="AQ5" s="102"/>
    </row>
    <row r="6" spans="1:43" ht="67.5" customHeight="1" x14ac:dyDescent="0.35">
      <c r="A6" s="279"/>
      <c r="B6" s="279"/>
      <c r="C6" s="281"/>
      <c r="D6" s="281"/>
      <c r="E6" s="71"/>
      <c r="F6" s="50"/>
      <c r="G6" s="50"/>
      <c r="H6" s="50"/>
      <c r="I6" s="71"/>
      <c r="J6" s="50"/>
      <c r="L6" s="50"/>
      <c r="M6" s="71"/>
      <c r="N6" s="58"/>
      <c r="O6" s="50"/>
      <c r="P6" s="50"/>
      <c r="Q6" s="55"/>
      <c r="R6" s="71"/>
      <c r="S6" s="50"/>
      <c r="T6" s="50"/>
      <c r="U6" s="70"/>
      <c r="V6" s="71"/>
      <c r="W6" s="50"/>
      <c r="X6" s="50"/>
      <c r="Y6" s="70"/>
      <c r="Z6" s="71"/>
      <c r="AA6" s="50"/>
      <c r="AB6" s="50"/>
      <c r="AC6" s="50"/>
      <c r="AD6" s="70"/>
      <c r="AE6" s="71"/>
      <c r="AF6" s="50"/>
      <c r="AG6" s="50"/>
      <c r="AH6" s="70"/>
      <c r="AI6" s="71"/>
      <c r="AJ6" s="50"/>
      <c r="AK6" s="50"/>
      <c r="AL6" s="70"/>
      <c r="AM6" s="71"/>
      <c r="AN6" s="50"/>
      <c r="AO6" s="50"/>
      <c r="AP6" s="55"/>
      <c r="AQ6" s="102"/>
    </row>
    <row r="7" spans="1:43" s="16" customFormat="1" ht="236.25" customHeight="1" thickBot="1" x14ac:dyDescent="0.4">
      <c r="A7" s="279"/>
      <c r="B7" s="279"/>
      <c r="C7" s="282"/>
      <c r="D7" s="282"/>
      <c r="E7" s="73"/>
      <c r="F7" s="52"/>
      <c r="G7" s="52"/>
      <c r="I7" s="52"/>
      <c r="J7" s="52"/>
      <c r="K7" s="52"/>
      <c r="L7" s="52"/>
      <c r="M7" s="73"/>
      <c r="N7" s="59"/>
      <c r="O7" s="52"/>
      <c r="P7" s="52"/>
      <c r="Q7" s="72"/>
      <c r="R7" s="73"/>
      <c r="S7" s="52"/>
      <c r="T7" s="52"/>
      <c r="U7" s="72"/>
      <c r="V7" s="73"/>
      <c r="W7" s="52"/>
      <c r="X7" s="52"/>
      <c r="Y7" s="72"/>
      <c r="Z7" s="73"/>
      <c r="AA7" s="52"/>
      <c r="AC7" s="52"/>
      <c r="AD7" s="72"/>
      <c r="AE7" s="73"/>
      <c r="AF7" s="52"/>
      <c r="AG7" s="52"/>
      <c r="AH7" s="72"/>
      <c r="AI7" s="73"/>
      <c r="AJ7" s="52"/>
      <c r="AK7" s="52"/>
      <c r="AL7" s="72"/>
      <c r="AM7" s="73"/>
      <c r="AN7" s="52"/>
      <c r="AO7" s="52"/>
      <c r="AP7" s="56"/>
      <c r="AQ7" s="102"/>
    </row>
  </sheetData>
  <mergeCells count="12">
    <mergeCell ref="A3:B7"/>
    <mergeCell ref="D3:D7"/>
    <mergeCell ref="C3:C7"/>
    <mergeCell ref="AE2:AH2"/>
    <mergeCell ref="AI2:AL2"/>
    <mergeCell ref="AM2:AP2"/>
    <mergeCell ref="E2:H2"/>
    <mergeCell ref="I2:L2"/>
    <mergeCell ref="M2:Q2"/>
    <mergeCell ref="R2:U2"/>
    <mergeCell ref="V2:Y2"/>
    <mergeCell ref="Z2:AD2"/>
  </mergeCells>
  <pageMargins left="0" right="0" top="0.19685039370078741" bottom="0" header="0" footer="0"/>
  <pageSetup paperSize="8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5801-4271-4A99-AD40-F1C25749F3ED}">
  <sheetPr>
    <pageSetUpPr fitToPage="1"/>
  </sheetPr>
  <dimension ref="A1:AS97"/>
  <sheetViews>
    <sheetView showGridLines="0" view="pageBreakPreview" topLeftCell="B1" zoomScale="80" zoomScaleNormal="85" zoomScaleSheetLayoutView="80" workbookViewId="0">
      <pane xSplit="4" ySplit="2" topLeftCell="F3" activePane="bottomRight" state="frozen"/>
      <selection pane="topRight" activeCell="E1" sqref="E1"/>
      <selection pane="bottomLeft" activeCell="B3" sqref="B3"/>
      <selection pane="bottomRight" activeCell="AP68" sqref="AP68"/>
    </sheetView>
  </sheetViews>
  <sheetFormatPr defaultRowHeight="14.5" x14ac:dyDescent="0.35"/>
  <cols>
    <col min="1" max="1" width="21" hidden="1" customWidth="1"/>
    <col min="2" max="2" width="10.1796875" customWidth="1"/>
    <col min="3" max="3" width="22.453125" bestFit="1" customWidth="1"/>
    <col min="4" max="4" width="66.81640625" customWidth="1"/>
    <col min="5" max="5" width="53.26953125" customWidth="1"/>
    <col min="6" max="43" width="4.7265625" customWidth="1"/>
    <col min="44" max="44" width="6.1796875" customWidth="1"/>
  </cols>
  <sheetData>
    <row r="1" spans="1:44" ht="81.75" customHeight="1" x14ac:dyDescent="0.35">
      <c r="C1" s="36"/>
      <c r="D1" s="36">
        <f>3/19</f>
        <v>0.15789473684210525</v>
      </c>
      <c r="AN1" s="127" t="s">
        <v>71</v>
      </c>
      <c r="AO1" s="127"/>
      <c r="AP1" s="127"/>
      <c r="AQ1" s="127"/>
    </row>
    <row r="2" spans="1:44" ht="19" thickBot="1" x14ac:dyDescent="0.5">
      <c r="B2" s="103"/>
      <c r="C2" s="126" t="s">
        <v>76</v>
      </c>
      <c r="D2" s="126" t="s">
        <v>11</v>
      </c>
      <c r="E2" s="107" t="s">
        <v>72</v>
      </c>
      <c r="F2" s="277" t="s">
        <v>34</v>
      </c>
      <c r="G2" s="278"/>
      <c r="H2" s="278"/>
      <c r="I2" s="278"/>
      <c r="J2" s="277" t="s">
        <v>23</v>
      </c>
      <c r="K2" s="278"/>
      <c r="L2" s="278"/>
      <c r="M2" s="278"/>
      <c r="N2" s="277" t="s">
        <v>35</v>
      </c>
      <c r="O2" s="278"/>
      <c r="P2" s="278"/>
      <c r="Q2" s="278"/>
      <c r="R2" s="278"/>
      <c r="S2" s="277" t="s">
        <v>36</v>
      </c>
      <c r="T2" s="278"/>
      <c r="U2" s="278"/>
      <c r="V2" s="278"/>
      <c r="W2" s="277" t="s">
        <v>26</v>
      </c>
      <c r="X2" s="278"/>
      <c r="Y2" s="278"/>
      <c r="Z2" s="278"/>
      <c r="AA2" s="277" t="s">
        <v>37</v>
      </c>
      <c r="AB2" s="278"/>
      <c r="AC2" s="278"/>
      <c r="AD2" s="278"/>
      <c r="AE2" s="278"/>
      <c r="AF2" s="277" t="s">
        <v>28</v>
      </c>
      <c r="AG2" s="278"/>
      <c r="AH2" s="278"/>
      <c r="AI2" s="278"/>
      <c r="AJ2" s="277" t="s">
        <v>29</v>
      </c>
      <c r="AK2" s="278"/>
      <c r="AL2" s="278"/>
      <c r="AM2" s="278"/>
      <c r="AN2" s="277" t="s">
        <v>30</v>
      </c>
      <c r="AO2" s="278"/>
      <c r="AP2" s="278"/>
      <c r="AQ2" s="278"/>
      <c r="AR2" s="102"/>
    </row>
    <row r="3" spans="1:44" s="104" customFormat="1" ht="60" customHeight="1" thickBot="1" x14ac:dyDescent="0.4">
      <c r="A3"/>
      <c r="B3" s="297" t="s">
        <v>77</v>
      </c>
      <c r="C3" s="151" t="s">
        <v>78</v>
      </c>
      <c r="D3" s="169" t="s">
        <v>79</v>
      </c>
      <c r="E3" s="170"/>
      <c r="F3" s="145"/>
      <c r="G3" s="146"/>
      <c r="H3" s="146"/>
      <c r="I3" s="146"/>
      <c r="J3" s="145"/>
      <c r="K3" s="146"/>
      <c r="L3" s="146"/>
      <c r="M3" s="146"/>
      <c r="N3" s="145"/>
      <c r="O3" s="147"/>
      <c r="P3" s="146"/>
      <c r="Q3" s="146"/>
      <c r="R3" s="148"/>
      <c r="S3" s="145"/>
      <c r="T3" s="146"/>
      <c r="U3" s="146"/>
      <c r="V3" s="149"/>
      <c r="W3" s="145"/>
      <c r="X3" s="146"/>
      <c r="Y3" s="146"/>
      <c r="Z3" s="149"/>
      <c r="AA3" s="145"/>
      <c r="AB3" s="146"/>
      <c r="AC3" s="146"/>
      <c r="AD3" s="146"/>
      <c r="AE3" s="149"/>
      <c r="AF3" s="145"/>
      <c r="AG3" s="146"/>
      <c r="AH3" s="146"/>
      <c r="AI3" s="149"/>
      <c r="AJ3" s="145"/>
      <c r="AK3" s="146"/>
      <c r="AL3" s="146"/>
      <c r="AM3" s="149"/>
      <c r="AN3" s="145"/>
      <c r="AO3" s="146"/>
      <c r="AP3" s="146"/>
      <c r="AQ3" s="150"/>
      <c r="AR3" s="102"/>
    </row>
    <row r="4" spans="1:44" s="104" customFormat="1" ht="60" customHeight="1" x14ac:dyDescent="0.35">
      <c r="A4" s="161" t="s">
        <v>73</v>
      </c>
      <c r="B4" s="298"/>
      <c r="C4" s="163" t="s">
        <v>80</v>
      </c>
      <c r="D4" s="289" t="s">
        <v>81</v>
      </c>
      <c r="E4" s="291" t="s">
        <v>82</v>
      </c>
      <c r="F4" s="69"/>
      <c r="G4" s="48"/>
      <c r="H4" s="48"/>
      <c r="I4" s="48"/>
      <c r="J4" s="69"/>
      <c r="K4" s="48"/>
      <c r="L4" s="48"/>
      <c r="M4" s="48"/>
      <c r="N4" s="69"/>
      <c r="O4" s="57"/>
      <c r="P4" s="48"/>
      <c r="Q4" s="48"/>
      <c r="R4" s="54"/>
      <c r="S4" s="69"/>
      <c r="T4" s="48"/>
      <c r="U4" s="48"/>
      <c r="V4" s="68"/>
      <c r="W4" s="69"/>
      <c r="X4" s="48"/>
      <c r="Y4" s="48"/>
      <c r="Z4" s="68"/>
      <c r="AA4" s="69"/>
      <c r="AB4" s="48"/>
      <c r="AC4" s="48"/>
      <c r="AD4" s="48"/>
      <c r="AE4" s="68"/>
      <c r="AF4" s="69"/>
      <c r="AG4" s="48"/>
      <c r="AH4" s="48"/>
      <c r="AI4" s="68"/>
      <c r="AJ4" s="69"/>
      <c r="AK4" s="48"/>
      <c r="AL4" s="48"/>
      <c r="AM4" s="68"/>
      <c r="AN4" s="69"/>
      <c r="AO4" s="48"/>
      <c r="AP4" s="48"/>
      <c r="AQ4" s="166"/>
      <c r="AR4" s="102"/>
    </row>
    <row r="5" spans="1:44" ht="60" customHeight="1" x14ac:dyDescent="0.35">
      <c r="A5" s="162"/>
      <c r="B5" s="298"/>
      <c r="C5" s="152" t="s">
        <v>83</v>
      </c>
      <c r="D5" s="290"/>
      <c r="E5" s="292"/>
      <c r="F5" s="100"/>
      <c r="G5" s="82"/>
      <c r="H5" s="82"/>
      <c r="I5" s="82"/>
      <c r="J5" s="100"/>
      <c r="K5" s="82"/>
      <c r="L5" s="82"/>
      <c r="M5" s="82"/>
      <c r="N5" s="100"/>
      <c r="O5" s="98"/>
      <c r="P5" s="82"/>
      <c r="Q5" s="82"/>
      <c r="R5" s="95"/>
      <c r="S5" s="100"/>
      <c r="T5" s="82"/>
      <c r="U5" s="82"/>
      <c r="V5" s="99"/>
      <c r="W5" s="100"/>
      <c r="X5" s="82"/>
      <c r="Y5" s="82"/>
      <c r="Z5" s="99"/>
      <c r="AA5" s="100"/>
      <c r="AB5" s="82"/>
      <c r="AC5" s="82"/>
      <c r="AD5" s="82"/>
      <c r="AE5" s="99"/>
      <c r="AF5" s="100"/>
      <c r="AG5" s="82"/>
      <c r="AH5" s="82"/>
      <c r="AI5" s="99"/>
      <c r="AJ5" s="100"/>
      <c r="AK5" s="82"/>
      <c r="AL5" s="82"/>
      <c r="AM5" s="99"/>
      <c r="AN5" s="100"/>
      <c r="AO5" s="82"/>
      <c r="AP5" s="82"/>
      <c r="AQ5" s="164"/>
      <c r="AR5" s="102"/>
    </row>
    <row r="6" spans="1:44" ht="60" customHeight="1" x14ac:dyDescent="0.35">
      <c r="A6" s="162"/>
      <c r="B6" s="298"/>
      <c r="C6" s="152" t="s">
        <v>84</v>
      </c>
      <c r="D6" s="153"/>
      <c r="E6" s="154"/>
      <c r="F6" s="155"/>
      <c r="G6" s="156"/>
      <c r="H6" s="156"/>
      <c r="I6" s="156"/>
      <c r="J6" s="155"/>
      <c r="K6" s="156"/>
      <c r="L6" s="156"/>
      <c r="M6" s="156"/>
      <c r="N6" s="155"/>
      <c r="O6" s="157"/>
      <c r="P6" s="156"/>
      <c r="Q6" s="156"/>
      <c r="R6" s="158"/>
      <c r="S6" s="155"/>
      <c r="T6" s="156"/>
      <c r="U6" s="156"/>
      <c r="V6" s="159"/>
      <c r="W6" s="155"/>
      <c r="X6" s="156"/>
      <c r="Y6" s="156"/>
      <c r="Z6" s="159"/>
      <c r="AA6" s="155"/>
      <c r="AB6" s="156"/>
      <c r="AC6" s="156"/>
      <c r="AD6" s="156"/>
      <c r="AE6" s="159"/>
      <c r="AF6" s="155"/>
      <c r="AG6" s="156"/>
      <c r="AH6" s="156"/>
      <c r="AI6" s="159"/>
      <c r="AJ6" s="155"/>
      <c r="AK6" s="156"/>
      <c r="AL6" s="156"/>
      <c r="AM6" s="159"/>
      <c r="AN6" s="155"/>
      <c r="AO6" s="156"/>
      <c r="AP6" s="156"/>
      <c r="AQ6" s="160"/>
      <c r="AR6" s="102"/>
    </row>
    <row r="7" spans="1:44" ht="70" customHeight="1" x14ac:dyDescent="0.35">
      <c r="A7" s="162"/>
      <c r="B7" s="298"/>
      <c r="C7" s="293" t="s">
        <v>85</v>
      </c>
      <c r="D7" s="143"/>
      <c r="E7" s="144"/>
      <c r="F7" s="71"/>
      <c r="G7" s="50"/>
      <c r="H7" s="50"/>
      <c r="I7" s="50"/>
      <c r="J7" s="71"/>
      <c r="K7" s="50"/>
      <c r="M7" s="50"/>
      <c r="N7" s="71"/>
      <c r="O7" s="58"/>
      <c r="P7" s="50"/>
      <c r="Q7" s="50"/>
      <c r="R7" s="55"/>
      <c r="S7" s="71"/>
      <c r="T7" s="50"/>
      <c r="U7" s="50"/>
      <c r="V7" s="70"/>
      <c r="W7" s="71"/>
      <c r="X7" s="50"/>
      <c r="Y7" s="50"/>
      <c r="Z7" s="70"/>
      <c r="AA7" s="71"/>
      <c r="AB7" s="50"/>
      <c r="AC7" s="50"/>
      <c r="AD7" s="50"/>
      <c r="AE7" s="70"/>
      <c r="AF7" s="71"/>
      <c r="AG7" s="50"/>
      <c r="AH7" s="50"/>
      <c r="AI7" s="70"/>
      <c r="AJ7" s="71"/>
      <c r="AK7" s="50"/>
      <c r="AL7" s="50"/>
      <c r="AM7" s="70"/>
      <c r="AN7" s="71"/>
      <c r="AO7" s="50"/>
      <c r="AP7" s="50"/>
      <c r="AQ7" s="135"/>
      <c r="AR7" s="102"/>
    </row>
    <row r="8" spans="1:44" ht="77.25" customHeight="1" x14ac:dyDescent="0.35">
      <c r="A8" s="162"/>
      <c r="B8" s="298"/>
      <c r="C8" s="294"/>
      <c r="D8" s="165"/>
      <c r="E8" s="167"/>
      <c r="F8" s="100"/>
      <c r="G8" s="82"/>
      <c r="H8" s="82"/>
      <c r="I8" s="82"/>
      <c r="J8" s="100"/>
      <c r="K8" s="82"/>
      <c r="L8" s="3"/>
      <c r="M8" s="82"/>
      <c r="N8" s="100"/>
      <c r="O8" s="98"/>
      <c r="P8" s="82"/>
      <c r="Q8" s="82"/>
      <c r="R8" s="95"/>
      <c r="S8" s="100"/>
      <c r="T8" s="82"/>
      <c r="U8" s="82"/>
      <c r="V8" s="99"/>
      <c r="W8" s="100"/>
      <c r="X8" s="82"/>
      <c r="Y8" s="82"/>
      <c r="Z8" s="99"/>
      <c r="AA8" s="100"/>
      <c r="AB8" s="82"/>
      <c r="AC8" s="82"/>
      <c r="AD8" s="82"/>
      <c r="AE8" s="99"/>
      <c r="AF8" s="100"/>
      <c r="AG8" s="82"/>
      <c r="AH8" s="82"/>
      <c r="AI8" s="99"/>
      <c r="AJ8" s="100"/>
      <c r="AK8" s="82"/>
      <c r="AL8" s="82"/>
      <c r="AM8" s="99"/>
      <c r="AN8" s="100"/>
      <c r="AO8" s="82"/>
      <c r="AP8" s="82"/>
      <c r="AQ8" s="164"/>
      <c r="AR8" s="102"/>
    </row>
    <row r="9" spans="1:44" ht="70" customHeight="1" x14ac:dyDescent="0.35">
      <c r="A9" s="162"/>
      <c r="B9" s="298"/>
      <c r="C9" s="293" t="s">
        <v>86</v>
      </c>
      <c r="D9" s="143"/>
      <c r="E9" s="144"/>
      <c r="F9" s="71"/>
      <c r="G9" s="50"/>
      <c r="H9" s="50"/>
      <c r="I9" s="50"/>
      <c r="J9" s="71"/>
      <c r="K9" s="50"/>
      <c r="M9" s="50"/>
      <c r="N9" s="71"/>
      <c r="O9" s="58"/>
      <c r="P9" s="50"/>
      <c r="Q9" s="50"/>
      <c r="R9" s="55"/>
      <c r="S9" s="71"/>
      <c r="T9" s="50"/>
      <c r="U9" s="50"/>
      <c r="V9" s="70"/>
      <c r="W9" s="71"/>
      <c r="X9" s="50"/>
      <c r="Y9" s="50"/>
      <c r="Z9" s="70"/>
      <c r="AA9" s="71"/>
      <c r="AB9" s="50"/>
      <c r="AC9" s="50"/>
      <c r="AD9" s="50"/>
      <c r="AE9" s="70"/>
      <c r="AF9" s="71"/>
      <c r="AG9" s="50"/>
      <c r="AH9" s="50"/>
      <c r="AI9" s="70"/>
      <c r="AJ9" s="71"/>
      <c r="AK9" s="50"/>
      <c r="AL9" s="50"/>
      <c r="AM9" s="70"/>
      <c r="AN9" s="71"/>
      <c r="AO9" s="50"/>
      <c r="AP9" s="50"/>
      <c r="AQ9" s="135"/>
      <c r="AR9" s="102"/>
    </row>
    <row r="10" spans="1:44" ht="107.25" customHeight="1" x14ac:dyDescent="0.35">
      <c r="A10" s="162"/>
      <c r="B10" s="298"/>
      <c r="C10" s="294"/>
      <c r="D10" s="165"/>
      <c r="E10" s="167"/>
      <c r="F10" s="100"/>
      <c r="G10" s="82"/>
      <c r="H10" s="82"/>
      <c r="I10" s="82"/>
      <c r="J10" s="100"/>
      <c r="K10" s="82"/>
      <c r="L10" s="3"/>
      <c r="M10" s="82"/>
      <c r="N10" s="100"/>
      <c r="O10" s="98"/>
      <c r="P10" s="82"/>
      <c r="Q10" s="82"/>
      <c r="R10" s="95"/>
      <c r="S10" s="100"/>
      <c r="T10" s="82"/>
      <c r="U10" s="82"/>
      <c r="V10" s="99"/>
      <c r="W10" s="100"/>
      <c r="X10" s="82"/>
      <c r="Y10" s="82"/>
      <c r="Z10" s="99"/>
      <c r="AA10" s="100"/>
      <c r="AB10" s="82"/>
      <c r="AC10" s="82"/>
      <c r="AD10" s="82"/>
      <c r="AE10" s="99"/>
      <c r="AF10" s="100"/>
      <c r="AG10" s="82"/>
      <c r="AH10" s="82"/>
      <c r="AI10" s="99"/>
      <c r="AJ10" s="100"/>
      <c r="AK10" s="82"/>
      <c r="AL10" s="82"/>
      <c r="AM10" s="99"/>
      <c r="AN10" s="100"/>
      <c r="AO10" s="82"/>
      <c r="AP10" s="82"/>
      <c r="AQ10" s="164"/>
      <c r="AR10" s="102"/>
    </row>
    <row r="11" spans="1:44" ht="80.150000000000006" customHeight="1" x14ac:dyDescent="0.35">
      <c r="A11" s="162"/>
      <c r="B11" s="298"/>
      <c r="C11" s="152" t="s">
        <v>87</v>
      </c>
      <c r="D11" s="153"/>
      <c r="E11" s="154"/>
      <c r="F11" s="155"/>
      <c r="G11" s="156"/>
      <c r="H11" s="156"/>
      <c r="I11" s="156"/>
      <c r="J11" s="155"/>
      <c r="K11" s="156"/>
      <c r="L11" s="156"/>
      <c r="M11" s="156"/>
      <c r="N11" s="155"/>
      <c r="O11" s="157"/>
      <c r="P11" s="156"/>
      <c r="Q11" s="156"/>
      <c r="R11" s="158"/>
      <c r="S11" s="155"/>
      <c r="T11" s="156"/>
      <c r="U11" s="156"/>
      <c r="V11" s="159"/>
      <c r="W11" s="155"/>
      <c r="X11" s="156"/>
      <c r="Y11" s="156"/>
      <c r="Z11" s="159"/>
      <c r="AA11" s="155"/>
      <c r="AB11" s="156"/>
      <c r="AC11" s="156"/>
      <c r="AD11" s="156"/>
      <c r="AE11" s="159"/>
      <c r="AF11" s="155"/>
      <c r="AG11" s="156"/>
      <c r="AH11" s="156"/>
      <c r="AI11" s="159"/>
      <c r="AJ11" s="155"/>
      <c r="AK11" s="156"/>
      <c r="AL11" s="156"/>
      <c r="AM11" s="159"/>
      <c r="AN11" s="155"/>
      <c r="AO11" s="156"/>
      <c r="AP11" s="156"/>
      <c r="AQ11" s="160"/>
      <c r="AR11" s="102"/>
    </row>
    <row r="12" spans="1:44" ht="80.150000000000006" customHeight="1" x14ac:dyDescent="0.35">
      <c r="A12" s="162"/>
      <c r="B12" s="298"/>
      <c r="C12" s="152" t="s">
        <v>88</v>
      </c>
      <c r="D12" s="153"/>
      <c r="E12" s="154"/>
      <c r="F12" s="155"/>
      <c r="G12" s="156"/>
      <c r="H12" s="156"/>
      <c r="I12" s="156"/>
      <c r="J12" s="155"/>
      <c r="K12" s="156"/>
      <c r="L12" s="156"/>
      <c r="M12" s="156"/>
      <c r="N12" s="155"/>
      <c r="O12" s="157"/>
      <c r="P12" s="156"/>
      <c r="Q12" s="156"/>
      <c r="R12" s="158"/>
      <c r="S12" s="155"/>
      <c r="T12" s="156"/>
      <c r="U12" s="156"/>
      <c r="V12" s="159"/>
      <c r="W12" s="155"/>
      <c r="X12" s="156"/>
      <c r="Y12" s="156"/>
      <c r="Z12" s="159"/>
      <c r="AA12" s="155"/>
      <c r="AB12" s="156"/>
      <c r="AC12" s="156"/>
      <c r="AD12" s="156"/>
      <c r="AE12" s="159"/>
      <c r="AF12" s="155"/>
      <c r="AG12" s="156"/>
      <c r="AH12" s="156"/>
      <c r="AI12" s="159"/>
      <c r="AJ12" s="155"/>
      <c r="AK12" s="156"/>
      <c r="AL12" s="156"/>
      <c r="AM12" s="159"/>
      <c r="AN12" s="155"/>
      <c r="AO12" s="156"/>
      <c r="AP12" s="156"/>
      <c r="AQ12" s="160"/>
      <c r="AR12" s="102"/>
    </row>
    <row r="13" spans="1:44" s="16" customFormat="1" ht="74.25" customHeight="1" thickBot="1" x14ac:dyDescent="0.4">
      <c r="A13" s="162"/>
      <c r="B13" s="298"/>
      <c r="C13" s="152" t="s">
        <v>89</v>
      </c>
      <c r="D13" s="153"/>
      <c r="E13" s="154"/>
      <c r="F13" s="155"/>
      <c r="G13" s="156"/>
      <c r="H13" s="156"/>
      <c r="I13" s="156"/>
      <c r="J13" s="155"/>
      <c r="K13" s="156"/>
      <c r="L13" s="156"/>
      <c r="M13" s="156"/>
      <c r="N13" s="155"/>
      <c r="O13" s="157"/>
      <c r="P13" s="156"/>
      <c r="Q13" s="156"/>
      <c r="R13" s="159"/>
      <c r="S13" s="155"/>
      <c r="T13" s="156"/>
      <c r="U13" s="156"/>
      <c r="V13" s="159"/>
      <c r="W13" s="155"/>
      <c r="X13" s="156"/>
      <c r="Y13" s="156"/>
      <c r="Z13" s="159"/>
      <c r="AA13" s="155"/>
      <c r="AB13" s="156"/>
      <c r="AC13" s="168"/>
      <c r="AD13" s="156"/>
      <c r="AE13" s="159"/>
      <c r="AF13" s="155"/>
      <c r="AG13" s="156"/>
      <c r="AH13" s="156"/>
      <c r="AI13" s="159"/>
      <c r="AJ13" s="155"/>
      <c r="AK13" s="156"/>
      <c r="AL13" s="156"/>
      <c r="AM13" s="159"/>
      <c r="AN13" s="155"/>
      <c r="AO13" s="156"/>
      <c r="AP13" s="156"/>
      <c r="AQ13" s="160"/>
      <c r="AR13" s="102"/>
    </row>
    <row r="14" spans="1:44" s="16" customFormat="1" ht="74.25" customHeight="1" thickBot="1" x14ac:dyDescent="0.4">
      <c r="A14" s="162"/>
      <c r="B14" s="298"/>
      <c r="C14" s="174" t="s">
        <v>90</v>
      </c>
      <c r="D14" s="175" t="s">
        <v>91</v>
      </c>
      <c r="E14" s="176"/>
      <c r="F14" s="69"/>
      <c r="G14" s="48"/>
      <c r="H14" s="48"/>
      <c r="I14" s="48"/>
      <c r="J14" s="69"/>
      <c r="K14" s="48"/>
      <c r="L14" s="48"/>
      <c r="M14" s="48"/>
      <c r="N14" s="69"/>
      <c r="O14" s="57"/>
      <c r="P14" s="48"/>
      <c r="Q14" s="48"/>
      <c r="R14" s="68"/>
      <c r="S14" s="69"/>
      <c r="T14" s="48"/>
      <c r="U14" s="48"/>
      <c r="V14" s="68"/>
      <c r="W14" s="69"/>
      <c r="X14" s="48"/>
      <c r="Y14" s="48"/>
      <c r="Z14" s="68"/>
      <c r="AA14" s="69"/>
      <c r="AB14" s="48"/>
      <c r="AC14" s="2"/>
      <c r="AD14" s="48"/>
      <c r="AE14" s="68"/>
      <c r="AF14" s="69"/>
      <c r="AG14" s="48"/>
      <c r="AH14" s="48"/>
      <c r="AI14" s="68"/>
      <c r="AJ14" s="69"/>
      <c r="AK14" s="48"/>
      <c r="AL14" s="48"/>
      <c r="AM14" s="68"/>
      <c r="AN14" s="69"/>
      <c r="AO14" s="48"/>
      <c r="AP14" s="48"/>
      <c r="AQ14" s="166"/>
      <c r="AR14" s="102"/>
    </row>
    <row r="15" spans="1:44" ht="108.75" customHeight="1" x14ac:dyDescent="0.35">
      <c r="A15" s="162"/>
      <c r="B15" s="299" t="s">
        <v>92</v>
      </c>
      <c r="C15" s="295" t="s">
        <v>93</v>
      </c>
      <c r="D15" s="177"/>
      <c r="E15" s="178"/>
      <c r="F15" s="74"/>
      <c r="G15" s="53"/>
      <c r="H15" s="53"/>
      <c r="I15" s="53"/>
      <c r="J15" s="74"/>
      <c r="K15" s="53"/>
      <c r="L15" s="53"/>
      <c r="M15" s="53"/>
      <c r="N15" s="74"/>
      <c r="O15" s="67"/>
      <c r="P15" s="53"/>
      <c r="Q15" s="53"/>
      <c r="R15" s="75"/>
      <c r="S15" s="74"/>
      <c r="T15" s="53"/>
      <c r="U15" s="53"/>
      <c r="V15" s="75"/>
      <c r="W15" s="74"/>
      <c r="X15" s="53"/>
      <c r="Y15" s="53"/>
      <c r="Z15" s="75"/>
      <c r="AA15" s="74"/>
      <c r="AB15" s="53"/>
      <c r="AC15" s="104"/>
      <c r="AD15" s="53"/>
      <c r="AE15" s="75"/>
      <c r="AF15" s="74"/>
      <c r="AG15" s="53"/>
      <c r="AH15" s="53"/>
      <c r="AI15" s="75"/>
      <c r="AJ15" s="74"/>
      <c r="AK15" s="53"/>
      <c r="AL15" s="53"/>
      <c r="AM15" s="75"/>
      <c r="AN15" s="74"/>
      <c r="AO15" s="53"/>
      <c r="AP15" s="53"/>
      <c r="AQ15" s="136"/>
    </row>
    <row r="16" spans="1:44" s="3" customFormat="1" ht="120.75" customHeight="1" thickBot="1" x14ac:dyDescent="0.4">
      <c r="A16" s="171"/>
      <c r="B16" s="300"/>
      <c r="C16" s="296"/>
      <c r="D16" s="130"/>
      <c r="E16" s="137"/>
      <c r="F16" s="73"/>
      <c r="G16" s="52"/>
      <c r="H16" s="52"/>
      <c r="I16" s="56"/>
      <c r="J16" s="73"/>
      <c r="K16" s="52"/>
      <c r="L16" s="52"/>
      <c r="M16" s="52"/>
      <c r="N16" s="73"/>
      <c r="O16" s="59"/>
      <c r="P16" s="52"/>
      <c r="Q16" s="52"/>
      <c r="R16" s="56"/>
      <c r="S16" s="73"/>
      <c r="T16" s="52"/>
      <c r="U16" s="52"/>
      <c r="V16" s="72"/>
      <c r="W16" s="73"/>
      <c r="X16" s="52"/>
      <c r="Y16" s="52"/>
      <c r="Z16" s="72"/>
      <c r="AA16" s="59"/>
      <c r="AB16" s="52"/>
      <c r="AC16" s="16"/>
      <c r="AD16" s="52"/>
      <c r="AE16" s="56"/>
      <c r="AF16" s="73"/>
      <c r="AG16" s="52"/>
      <c r="AH16" s="52"/>
      <c r="AI16" s="72"/>
      <c r="AJ16" s="73"/>
      <c r="AK16" s="52"/>
      <c r="AL16" s="52"/>
      <c r="AM16" s="72"/>
      <c r="AN16" s="73"/>
      <c r="AO16" s="52"/>
      <c r="AP16" s="52"/>
      <c r="AQ16" s="179"/>
    </row>
    <row r="17" spans="1:45" ht="90" customHeight="1" x14ac:dyDescent="0.35">
      <c r="A17" s="162"/>
      <c r="B17" s="162"/>
      <c r="C17" s="172"/>
      <c r="D17" s="172"/>
      <c r="E17" s="173"/>
      <c r="F17" s="100"/>
      <c r="G17" s="82"/>
      <c r="H17" s="82"/>
      <c r="I17" s="95"/>
      <c r="J17" s="100"/>
      <c r="K17" s="82"/>
      <c r="L17" s="82"/>
      <c r="M17" s="82"/>
      <c r="N17" s="100"/>
      <c r="O17" s="98"/>
      <c r="P17" s="82"/>
      <c r="Q17" s="82"/>
      <c r="R17" s="95"/>
      <c r="S17" s="100"/>
      <c r="T17" s="82"/>
      <c r="U17" s="82"/>
      <c r="V17" s="99"/>
      <c r="W17" s="100"/>
      <c r="X17" s="82"/>
      <c r="Y17" s="82"/>
      <c r="Z17" s="99"/>
      <c r="AA17" s="98"/>
      <c r="AB17" s="82"/>
      <c r="AC17" s="3"/>
      <c r="AD17" s="82"/>
      <c r="AE17" s="95"/>
      <c r="AF17" s="100"/>
      <c r="AG17" s="82"/>
      <c r="AH17" s="82"/>
      <c r="AI17" s="99"/>
      <c r="AJ17" s="100"/>
      <c r="AK17" s="82"/>
      <c r="AL17" s="82"/>
      <c r="AM17" s="99"/>
      <c r="AN17" s="100"/>
      <c r="AO17" s="82"/>
      <c r="AP17" s="82"/>
      <c r="AQ17" s="164"/>
      <c r="AR17" s="180"/>
      <c r="AS17" s="2"/>
    </row>
    <row r="18" spans="1:45" ht="90" customHeight="1" x14ac:dyDescent="0.35">
      <c r="A18" s="162"/>
      <c r="B18" s="162"/>
      <c r="C18" s="129"/>
      <c r="D18" s="129"/>
      <c r="E18" s="139"/>
      <c r="F18" s="71"/>
      <c r="G18" s="50"/>
      <c r="H18" s="50"/>
      <c r="I18" s="55"/>
      <c r="J18" s="71"/>
      <c r="K18" s="50"/>
      <c r="L18" s="50"/>
      <c r="M18" s="50"/>
      <c r="N18" s="71"/>
      <c r="O18" s="58"/>
      <c r="P18" s="50"/>
      <c r="Q18" s="50"/>
      <c r="R18" s="55"/>
      <c r="S18" s="71"/>
      <c r="T18" s="50"/>
      <c r="U18" s="50"/>
      <c r="V18" s="70"/>
      <c r="W18" s="71"/>
      <c r="X18" s="50"/>
      <c r="Y18" s="50"/>
      <c r="Z18" s="70"/>
      <c r="AA18" s="58"/>
      <c r="AB18" s="50"/>
      <c r="AD18" s="50"/>
      <c r="AE18" s="55"/>
      <c r="AF18" s="71"/>
      <c r="AG18" s="50"/>
      <c r="AH18" s="50"/>
      <c r="AI18" s="70"/>
      <c r="AJ18" s="71"/>
      <c r="AK18" s="50"/>
      <c r="AL18" s="50"/>
      <c r="AM18" s="70"/>
      <c r="AN18" s="71"/>
      <c r="AO18" s="50"/>
      <c r="AP18" s="50"/>
      <c r="AQ18" s="135"/>
    </row>
    <row r="19" spans="1:45" ht="15" customHeight="1" x14ac:dyDescent="0.35">
      <c r="A19" s="162"/>
      <c r="B19" s="162"/>
      <c r="C19" s="129"/>
      <c r="D19" s="129"/>
      <c r="E19" s="139"/>
      <c r="F19" s="71"/>
      <c r="G19" s="50"/>
      <c r="H19" s="50"/>
      <c r="I19" s="55"/>
      <c r="J19" s="71"/>
      <c r="K19" s="50"/>
      <c r="L19" s="50"/>
      <c r="M19" s="50"/>
      <c r="N19" s="71"/>
      <c r="O19" s="58"/>
      <c r="P19" s="50"/>
      <c r="Q19" s="50"/>
      <c r="R19" s="55"/>
      <c r="S19" s="71"/>
      <c r="T19" s="50"/>
      <c r="U19" s="50"/>
      <c r="V19" s="70"/>
      <c r="W19" s="71"/>
      <c r="X19" s="50"/>
      <c r="Y19" s="50"/>
      <c r="Z19" s="70"/>
      <c r="AA19" s="58"/>
      <c r="AB19" s="50"/>
      <c r="AD19" s="50"/>
      <c r="AE19" s="55"/>
      <c r="AF19" s="71"/>
      <c r="AG19" s="50"/>
      <c r="AH19" s="50"/>
      <c r="AI19" s="70"/>
      <c r="AJ19" s="71"/>
      <c r="AK19" s="50"/>
      <c r="AL19" s="50"/>
      <c r="AM19" s="70"/>
      <c r="AN19" s="71"/>
      <c r="AO19" s="50"/>
      <c r="AP19" s="50"/>
      <c r="AQ19" s="135"/>
    </row>
    <row r="20" spans="1:45" ht="15" customHeight="1" x14ac:dyDescent="0.35">
      <c r="A20" s="162"/>
      <c r="B20" s="162"/>
      <c r="C20" s="129"/>
      <c r="D20" s="129"/>
      <c r="E20" s="139"/>
      <c r="F20" s="71"/>
      <c r="G20" s="50"/>
      <c r="H20" s="50"/>
      <c r="I20" s="55"/>
      <c r="J20" s="71"/>
      <c r="K20" s="50"/>
      <c r="L20" s="50"/>
      <c r="M20" s="50"/>
      <c r="N20" s="71"/>
      <c r="O20" s="58"/>
      <c r="P20" s="50"/>
      <c r="Q20" s="50"/>
      <c r="R20" s="55"/>
      <c r="S20" s="71"/>
      <c r="T20" s="50"/>
      <c r="U20" s="50"/>
      <c r="V20" s="70"/>
      <c r="W20" s="71"/>
      <c r="X20" s="50"/>
      <c r="Y20" s="50"/>
      <c r="Z20" s="70"/>
      <c r="AA20" s="58"/>
      <c r="AB20" s="50"/>
      <c r="AD20" s="50"/>
      <c r="AE20" s="55"/>
      <c r="AF20" s="71"/>
      <c r="AG20" s="50"/>
      <c r="AH20" s="50"/>
      <c r="AI20" s="70"/>
      <c r="AJ20" s="71"/>
      <c r="AK20" s="50"/>
      <c r="AL20" s="50"/>
      <c r="AM20" s="70"/>
      <c r="AN20" s="71"/>
      <c r="AO20" s="50"/>
      <c r="AP20" s="50"/>
      <c r="AQ20" s="135"/>
    </row>
    <row r="21" spans="1:45" ht="15" customHeight="1" x14ac:dyDescent="0.35">
      <c r="A21" s="162"/>
      <c r="B21" s="162"/>
      <c r="C21" s="129"/>
      <c r="D21" s="129"/>
      <c r="E21" s="139"/>
      <c r="F21" s="71"/>
      <c r="G21" s="50"/>
      <c r="H21" s="50"/>
      <c r="I21" s="55"/>
      <c r="J21" s="71"/>
      <c r="K21" s="50"/>
      <c r="L21" s="50"/>
      <c r="M21" s="50"/>
      <c r="N21" s="71"/>
      <c r="O21" s="58"/>
      <c r="P21" s="50"/>
      <c r="Q21" s="50"/>
      <c r="R21" s="55"/>
      <c r="S21" s="71"/>
      <c r="T21" s="50"/>
      <c r="U21" s="50"/>
      <c r="V21" s="70"/>
      <c r="W21" s="71"/>
      <c r="X21" s="50"/>
      <c r="Y21" s="50"/>
      <c r="Z21" s="70"/>
      <c r="AA21" s="58"/>
      <c r="AB21" s="50"/>
      <c r="AD21" s="50"/>
      <c r="AE21" s="55"/>
      <c r="AF21" s="71"/>
      <c r="AG21" s="50"/>
      <c r="AH21" s="50"/>
      <c r="AI21" s="70"/>
      <c r="AJ21" s="71"/>
      <c r="AK21" s="50"/>
      <c r="AL21" s="50"/>
      <c r="AM21" s="70"/>
      <c r="AN21" s="71"/>
      <c r="AO21" s="50"/>
      <c r="AP21" s="50"/>
      <c r="AQ21" s="135"/>
    </row>
    <row r="22" spans="1:45" ht="15" customHeight="1" x14ac:dyDescent="0.35">
      <c r="A22" s="162"/>
      <c r="B22" s="162"/>
      <c r="C22" s="129"/>
      <c r="D22" s="129"/>
      <c r="E22" s="139"/>
      <c r="F22" s="71"/>
      <c r="G22" s="50"/>
      <c r="H22" s="50"/>
      <c r="I22" s="55"/>
      <c r="J22" s="71"/>
      <c r="K22" s="50"/>
      <c r="L22" s="50"/>
      <c r="M22" s="50"/>
      <c r="N22" s="71"/>
      <c r="O22" s="58"/>
      <c r="P22" s="50"/>
      <c r="Q22" s="50"/>
      <c r="R22" s="55"/>
      <c r="S22" s="71"/>
      <c r="T22" s="50"/>
      <c r="U22" s="50"/>
      <c r="V22" s="70"/>
      <c r="W22" s="71"/>
      <c r="X22" s="50"/>
      <c r="Y22" s="50"/>
      <c r="Z22" s="70"/>
      <c r="AA22" s="58"/>
      <c r="AB22" s="50"/>
      <c r="AD22" s="50"/>
      <c r="AE22" s="55"/>
      <c r="AF22" s="71"/>
      <c r="AG22" s="50"/>
      <c r="AH22" s="50"/>
      <c r="AI22" s="70"/>
      <c r="AJ22" s="71"/>
      <c r="AK22" s="50"/>
      <c r="AL22" s="50"/>
      <c r="AM22" s="70"/>
      <c r="AN22" s="71"/>
      <c r="AO22" s="50"/>
      <c r="AP22" s="50"/>
      <c r="AQ22" s="135"/>
    </row>
    <row r="23" spans="1:45" ht="15" customHeight="1" x14ac:dyDescent="0.35">
      <c r="A23" s="162"/>
      <c r="B23" s="162"/>
      <c r="C23" s="129"/>
      <c r="D23" s="129"/>
      <c r="E23" s="139"/>
      <c r="F23" s="71"/>
      <c r="G23" s="50"/>
      <c r="H23" s="50"/>
      <c r="I23" s="55"/>
      <c r="J23" s="71"/>
      <c r="K23" s="50"/>
      <c r="L23" s="50"/>
      <c r="M23" s="50"/>
      <c r="N23" s="71"/>
      <c r="O23" s="58"/>
      <c r="P23" s="50"/>
      <c r="Q23" s="50"/>
      <c r="R23" s="55"/>
      <c r="S23" s="71"/>
      <c r="T23" s="50"/>
      <c r="U23" s="50"/>
      <c r="V23" s="70"/>
      <c r="W23" s="71"/>
      <c r="X23" s="50"/>
      <c r="Y23" s="50"/>
      <c r="Z23" s="70"/>
      <c r="AA23" s="58"/>
      <c r="AB23" s="50"/>
      <c r="AD23" s="50"/>
      <c r="AE23" s="55"/>
      <c r="AF23" s="71"/>
      <c r="AG23" s="50"/>
      <c r="AH23" s="50"/>
      <c r="AI23" s="70"/>
      <c r="AJ23" s="71"/>
      <c r="AK23" s="50"/>
      <c r="AL23" s="50"/>
      <c r="AM23" s="70"/>
      <c r="AN23" s="71"/>
      <c r="AO23" s="50"/>
      <c r="AP23" s="50"/>
      <c r="AQ23" s="135"/>
    </row>
    <row r="24" spans="1:45" ht="15" customHeight="1" x14ac:dyDescent="0.35">
      <c r="A24" s="162"/>
      <c r="B24" s="162"/>
      <c r="C24" s="129"/>
      <c r="D24" s="129"/>
      <c r="E24" s="139"/>
      <c r="F24" s="71"/>
      <c r="G24" s="50"/>
      <c r="H24" s="50"/>
      <c r="I24" s="55"/>
      <c r="J24" s="71"/>
      <c r="K24" s="50"/>
      <c r="L24" s="50"/>
      <c r="M24" s="50"/>
      <c r="N24" s="71"/>
      <c r="O24" s="58"/>
      <c r="P24" s="50"/>
      <c r="Q24" s="50"/>
      <c r="R24" s="55"/>
      <c r="S24" s="71"/>
      <c r="T24" s="50"/>
      <c r="U24" s="50"/>
      <c r="V24" s="70"/>
      <c r="W24" s="71"/>
      <c r="X24" s="50"/>
      <c r="Y24" s="50"/>
      <c r="Z24" s="70"/>
      <c r="AA24" s="58"/>
      <c r="AB24" s="50"/>
      <c r="AD24" s="50"/>
      <c r="AE24" s="55"/>
      <c r="AF24" s="71"/>
      <c r="AG24" s="50"/>
      <c r="AH24" s="50"/>
      <c r="AI24" s="70"/>
      <c r="AJ24" s="71"/>
      <c r="AK24" s="50"/>
      <c r="AL24" s="50"/>
      <c r="AM24" s="70"/>
      <c r="AN24" s="71"/>
      <c r="AO24" s="50"/>
      <c r="AP24" s="50"/>
      <c r="AQ24" s="135"/>
    </row>
    <row r="25" spans="1:45" ht="15" customHeight="1" x14ac:dyDescent="0.35">
      <c r="A25" s="162"/>
      <c r="B25" s="162"/>
      <c r="C25" s="129"/>
      <c r="D25" s="129"/>
      <c r="E25" s="139"/>
      <c r="F25" s="71"/>
      <c r="G25" s="50"/>
      <c r="H25" s="50"/>
      <c r="I25" s="55"/>
      <c r="J25" s="71"/>
      <c r="K25" s="50"/>
      <c r="L25" s="50"/>
      <c r="M25" s="50"/>
      <c r="N25" s="71"/>
      <c r="O25" s="58"/>
      <c r="P25" s="50"/>
      <c r="Q25" s="50"/>
      <c r="R25" s="55"/>
      <c r="S25" s="71"/>
      <c r="T25" s="50"/>
      <c r="U25" s="50"/>
      <c r="V25" s="70"/>
      <c r="W25" s="71"/>
      <c r="X25" s="50"/>
      <c r="Y25" s="50"/>
      <c r="Z25" s="70"/>
      <c r="AA25" s="58"/>
      <c r="AB25" s="50"/>
      <c r="AD25" s="50"/>
      <c r="AE25" s="55"/>
      <c r="AF25" s="71"/>
      <c r="AG25" s="50"/>
      <c r="AH25" s="50"/>
      <c r="AI25" s="70"/>
      <c r="AJ25" s="71"/>
      <c r="AK25" s="50"/>
      <c r="AL25" s="50"/>
      <c r="AM25" s="70"/>
      <c r="AN25" s="71"/>
      <c r="AO25" s="50"/>
      <c r="AP25" s="50"/>
      <c r="AQ25" s="135"/>
    </row>
    <row r="26" spans="1:45" ht="15" customHeight="1" x14ac:dyDescent="0.35">
      <c r="A26" s="162"/>
      <c r="B26" s="162"/>
      <c r="C26" s="129"/>
      <c r="D26" s="129"/>
      <c r="E26" s="139"/>
      <c r="F26" s="71"/>
      <c r="G26" s="50"/>
      <c r="H26" s="50"/>
      <c r="I26" s="55"/>
      <c r="J26" s="71"/>
      <c r="K26" s="50"/>
      <c r="L26" s="50"/>
      <c r="M26" s="50"/>
      <c r="N26" s="71"/>
      <c r="O26" s="58"/>
      <c r="P26" s="50"/>
      <c r="Q26" s="50"/>
      <c r="R26" s="55"/>
      <c r="S26" s="71"/>
      <c r="T26" s="50"/>
      <c r="U26" s="50"/>
      <c r="V26" s="70"/>
      <c r="W26" s="71"/>
      <c r="X26" s="50"/>
      <c r="Y26" s="50"/>
      <c r="Z26" s="70"/>
      <c r="AA26" s="58"/>
      <c r="AB26" s="50"/>
      <c r="AD26" s="50"/>
      <c r="AE26" s="55"/>
      <c r="AF26" s="71"/>
      <c r="AG26" s="50"/>
      <c r="AH26" s="50"/>
      <c r="AI26" s="70"/>
      <c r="AJ26" s="71"/>
      <c r="AK26" s="50"/>
      <c r="AL26" s="50"/>
      <c r="AM26" s="70"/>
      <c r="AN26" s="71"/>
      <c r="AO26" s="50"/>
      <c r="AP26" s="50"/>
      <c r="AQ26" s="135"/>
    </row>
    <row r="27" spans="1:45" ht="15" customHeight="1" x14ac:dyDescent="0.35">
      <c r="A27" s="162"/>
      <c r="B27" s="162"/>
      <c r="C27" s="129"/>
      <c r="D27" s="129"/>
      <c r="E27" s="139"/>
      <c r="F27" s="71"/>
      <c r="G27" s="50"/>
      <c r="H27" s="50"/>
      <c r="I27" s="55"/>
      <c r="J27" s="71"/>
      <c r="K27" s="50"/>
      <c r="L27" s="50"/>
      <c r="M27" s="50"/>
      <c r="N27" s="71"/>
      <c r="O27" s="58"/>
      <c r="P27" s="50"/>
      <c r="Q27" s="50"/>
      <c r="R27" s="55"/>
      <c r="S27" s="71"/>
      <c r="T27" s="50"/>
      <c r="U27" s="50"/>
      <c r="V27" s="70"/>
      <c r="W27" s="71"/>
      <c r="X27" s="50"/>
      <c r="Y27" s="50"/>
      <c r="Z27" s="70"/>
      <c r="AA27" s="58"/>
      <c r="AB27" s="50"/>
      <c r="AD27" s="50"/>
      <c r="AE27" s="55"/>
      <c r="AF27" s="71"/>
      <c r="AG27" s="50"/>
      <c r="AH27" s="50"/>
      <c r="AI27" s="70"/>
      <c r="AJ27" s="71"/>
      <c r="AK27" s="50"/>
      <c r="AL27" s="50"/>
      <c r="AM27" s="70"/>
      <c r="AN27" s="71"/>
      <c r="AO27" s="50"/>
      <c r="AP27" s="50"/>
      <c r="AQ27" s="135"/>
    </row>
    <row r="28" spans="1:45" ht="15" customHeight="1" x14ac:dyDescent="0.35">
      <c r="A28" s="162"/>
      <c r="B28" s="162"/>
      <c r="C28" s="129"/>
      <c r="D28" s="129"/>
      <c r="E28" s="139"/>
      <c r="F28" s="71"/>
      <c r="G28" s="50"/>
      <c r="H28" s="50"/>
      <c r="I28" s="55"/>
      <c r="J28" s="71"/>
      <c r="K28" s="50"/>
      <c r="L28" s="50"/>
      <c r="M28" s="50"/>
      <c r="N28" s="71"/>
      <c r="O28" s="58"/>
      <c r="P28" s="50"/>
      <c r="Q28" s="50"/>
      <c r="R28" s="55"/>
      <c r="S28" s="71"/>
      <c r="T28" s="50"/>
      <c r="U28" s="50"/>
      <c r="V28" s="70"/>
      <c r="W28" s="71"/>
      <c r="X28" s="50"/>
      <c r="Y28" s="50"/>
      <c r="Z28" s="70"/>
      <c r="AA28" s="58"/>
      <c r="AB28" s="50"/>
      <c r="AD28" s="50"/>
      <c r="AE28" s="55"/>
      <c r="AF28" s="71"/>
      <c r="AG28" s="50"/>
      <c r="AH28" s="50"/>
      <c r="AI28" s="70"/>
      <c r="AJ28" s="71"/>
      <c r="AK28" s="50"/>
      <c r="AL28" s="50"/>
      <c r="AM28" s="70"/>
      <c r="AN28" s="71"/>
      <c r="AO28" s="50"/>
      <c r="AP28" s="50"/>
      <c r="AQ28" s="135"/>
    </row>
    <row r="29" spans="1:45" ht="15" customHeight="1" x14ac:dyDescent="0.35">
      <c r="A29" s="162"/>
      <c r="B29" s="162"/>
      <c r="C29" s="129"/>
      <c r="D29" s="129"/>
      <c r="E29" s="139"/>
      <c r="F29" s="71"/>
      <c r="G29" s="50"/>
      <c r="H29" s="50"/>
      <c r="I29" s="55"/>
      <c r="J29" s="71"/>
      <c r="K29" s="50"/>
      <c r="L29" s="50"/>
      <c r="M29" s="50"/>
      <c r="N29" s="71"/>
      <c r="O29" s="58"/>
      <c r="P29" s="50"/>
      <c r="Q29" s="50"/>
      <c r="R29" s="55"/>
      <c r="S29" s="71"/>
      <c r="T29" s="50"/>
      <c r="U29" s="50"/>
      <c r="V29" s="70"/>
      <c r="W29" s="71"/>
      <c r="X29" s="50"/>
      <c r="Y29" s="50"/>
      <c r="Z29" s="70"/>
      <c r="AA29" s="58"/>
      <c r="AB29" s="50"/>
      <c r="AD29" s="50"/>
      <c r="AE29" s="55"/>
      <c r="AF29" s="71"/>
      <c r="AG29" s="50"/>
      <c r="AH29" s="50"/>
      <c r="AI29" s="70"/>
      <c r="AJ29" s="71"/>
      <c r="AK29" s="50"/>
      <c r="AL29" s="50"/>
      <c r="AM29" s="70"/>
      <c r="AN29" s="71"/>
      <c r="AO29" s="50"/>
      <c r="AP29" s="50"/>
      <c r="AQ29" s="135"/>
    </row>
    <row r="30" spans="1:45" ht="15" customHeight="1" x14ac:dyDescent="0.35">
      <c r="A30" s="162"/>
      <c r="B30" s="162"/>
      <c r="C30" s="129"/>
      <c r="D30" s="129"/>
      <c r="E30" s="139"/>
      <c r="F30" s="71"/>
      <c r="G30" s="50"/>
      <c r="H30" s="50"/>
      <c r="I30" s="55"/>
      <c r="J30" s="71"/>
      <c r="K30" s="50"/>
      <c r="L30" s="50"/>
      <c r="M30" s="50"/>
      <c r="N30" s="71"/>
      <c r="O30" s="58"/>
      <c r="P30" s="50"/>
      <c r="Q30" s="50"/>
      <c r="R30" s="55"/>
      <c r="S30" s="71"/>
      <c r="T30" s="50"/>
      <c r="U30" s="50"/>
      <c r="V30" s="70"/>
      <c r="W30" s="71"/>
      <c r="X30" s="50"/>
      <c r="Y30" s="50"/>
      <c r="Z30" s="70"/>
      <c r="AA30" s="58"/>
      <c r="AB30" s="50"/>
      <c r="AD30" s="50"/>
      <c r="AE30" s="55"/>
      <c r="AF30" s="71"/>
      <c r="AG30" s="50"/>
      <c r="AH30" s="50"/>
      <c r="AI30" s="70"/>
      <c r="AJ30" s="71"/>
      <c r="AK30" s="50"/>
      <c r="AL30" s="50"/>
      <c r="AM30" s="70"/>
      <c r="AN30" s="71"/>
      <c r="AO30" s="50"/>
      <c r="AP30" s="50"/>
      <c r="AQ30" s="135"/>
    </row>
    <row r="31" spans="1:45" ht="15" customHeight="1" x14ac:dyDescent="0.35">
      <c r="A31" s="162"/>
      <c r="B31" s="162"/>
      <c r="C31" s="129"/>
      <c r="D31" s="129"/>
      <c r="E31" s="139"/>
      <c r="F31" s="71"/>
      <c r="G31" s="50"/>
      <c r="H31" s="50"/>
      <c r="I31" s="55"/>
      <c r="J31" s="71"/>
      <c r="K31" s="50"/>
      <c r="L31" s="50"/>
      <c r="M31" s="50"/>
      <c r="N31" s="71"/>
      <c r="O31" s="58"/>
      <c r="P31" s="50"/>
      <c r="Q31" s="50"/>
      <c r="R31" s="55"/>
      <c r="S31" s="71"/>
      <c r="T31" s="50"/>
      <c r="U31" s="50"/>
      <c r="V31" s="70"/>
      <c r="W31" s="71"/>
      <c r="X31" s="50"/>
      <c r="Y31" s="50"/>
      <c r="Z31" s="70"/>
      <c r="AA31" s="58"/>
      <c r="AB31" s="50"/>
      <c r="AD31" s="50"/>
      <c r="AE31" s="55"/>
      <c r="AF31" s="71"/>
      <c r="AG31" s="50"/>
      <c r="AH31" s="50"/>
      <c r="AI31" s="70"/>
      <c r="AJ31" s="71"/>
      <c r="AK31" s="50"/>
      <c r="AL31" s="50"/>
      <c r="AM31" s="70"/>
      <c r="AN31" s="71"/>
      <c r="AO31" s="50"/>
      <c r="AP31" s="50"/>
      <c r="AQ31" s="135"/>
    </row>
    <row r="32" spans="1:45" ht="15" customHeight="1" x14ac:dyDescent="0.35">
      <c r="A32" s="162"/>
      <c r="B32" s="162"/>
      <c r="C32" s="129"/>
      <c r="D32" s="129"/>
      <c r="E32" s="139"/>
      <c r="F32" s="71"/>
      <c r="G32" s="50"/>
      <c r="H32" s="50"/>
      <c r="I32" s="55"/>
      <c r="J32" s="71"/>
      <c r="K32" s="50"/>
      <c r="L32" s="50"/>
      <c r="M32" s="50"/>
      <c r="N32" s="71"/>
      <c r="O32" s="58"/>
      <c r="P32" s="50"/>
      <c r="Q32" s="50"/>
      <c r="R32" s="55"/>
      <c r="S32" s="71"/>
      <c r="T32" s="50"/>
      <c r="U32" s="50"/>
      <c r="V32" s="70"/>
      <c r="W32" s="71"/>
      <c r="X32" s="50"/>
      <c r="Y32" s="50"/>
      <c r="Z32" s="70"/>
      <c r="AA32" s="58"/>
      <c r="AB32" s="50"/>
      <c r="AD32" s="50"/>
      <c r="AE32" s="55"/>
      <c r="AF32" s="71"/>
      <c r="AG32" s="50"/>
      <c r="AH32" s="50"/>
      <c r="AI32" s="70"/>
      <c r="AJ32" s="71"/>
      <c r="AK32" s="50"/>
      <c r="AL32" s="50"/>
      <c r="AM32" s="70"/>
      <c r="AN32" s="71"/>
      <c r="AO32" s="50"/>
      <c r="AP32" s="50"/>
      <c r="AQ32" s="135"/>
    </row>
    <row r="33" spans="1:43" ht="15" customHeight="1" x14ac:dyDescent="0.35">
      <c r="A33" s="162"/>
      <c r="B33" s="162"/>
      <c r="C33" s="129"/>
      <c r="D33" s="129"/>
      <c r="E33" s="139"/>
      <c r="F33" s="71"/>
      <c r="G33" s="50"/>
      <c r="H33" s="50"/>
      <c r="I33" s="55"/>
      <c r="J33" s="71"/>
      <c r="K33" s="50"/>
      <c r="L33" s="50"/>
      <c r="M33" s="50"/>
      <c r="N33" s="71"/>
      <c r="O33" s="58"/>
      <c r="P33" s="50"/>
      <c r="Q33" s="50"/>
      <c r="R33" s="55"/>
      <c r="S33" s="71"/>
      <c r="T33" s="50"/>
      <c r="U33" s="50"/>
      <c r="V33" s="70"/>
      <c r="W33" s="71"/>
      <c r="X33" s="50"/>
      <c r="Y33" s="50"/>
      <c r="Z33" s="70"/>
      <c r="AA33" s="58"/>
      <c r="AB33" s="50"/>
      <c r="AD33" s="50"/>
      <c r="AE33" s="55"/>
      <c r="AF33" s="71"/>
      <c r="AG33" s="50"/>
      <c r="AH33" s="50"/>
      <c r="AI33" s="70"/>
      <c r="AJ33" s="71"/>
      <c r="AK33" s="50"/>
      <c r="AL33" s="50"/>
      <c r="AM33" s="70"/>
      <c r="AN33" s="71"/>
      <c r="AO33" s="50"/>
      <c r="AP33" s="50"/>
      <c r="AQ33" s="135"/>
    </row>
    <row r="34" spans="1:43" ht="15" customHeight="1" x14ac:dyDescent="0.35">
      <c r="A34" s="162"/>
      <c r="B34" s="162"/>
      <c r="C34" s="129"/>
      <c r="D34" s="129"/>
      <c r="E34" s="139"/>
      <c r="F34" s="71"/>
      <c r="G34" s="50"/>
      <c r="H34" s="50"/>
      <c r="I34" s="55"/>
      <c r="J34" s="71"/>
      <c r="K34" s="50"/>
      <c r="L34" s="50"/>
      <c r="M34" s="50"/>
      <c r="N34" s="71"/>
      <c r="O34" s="58"/>
      <c r="P34" s="50"/>
      <c r="Q34" s="50"/>
      <c r="R34" s="55"/>
      <c r="S34" s="71"/>
      <c r="T34" s="50"/>
      <c r="U34" s="50"/>
      <c r="V34" s="70"/>
      <c r="W34" s="71"/>
      <c r="X34" s="50"/>
      <c r="Y34" s="50"/>
      <c r="Z34" s="70"/>
      <c r="AA34" s="58"/>
      <c r="AB34" s="50"/>
      <c r="AD34" s="50"/>
      <c r="AE34" s="55"/>
      <c r="AF34" s="71"/>
      <c r="AG34" s="50"/>
      <c r="AH34" s="50"/>
      <c r="AI34" s="70"/>
      <c r="AJ34" s="71"/>
      <c r="AK34" s="50"/>
      <c r="AL34" s="50"/>
      <c r="AM34" s="70"/>
      <c r="AN34" s="71"/>
      <c r="AO34" s="50"/>
      <c r="AP34" s="50"/>
      <c r="AQ34" s="135"/>
    </row>
    <row r="35" spans="1:43" ht="15" customHeight="1" x14ac:dyDescent="0.35">
      <c r="A35" s="162"/>
      <c r="B35" s="162"/>
      <c r="C35" s="129"/>
      <c r="D35" s="129"/>
      <c r="E35" s="139"/>
      <c r="F35" s="71"/>
      <c r="G35" s="50"/>
      <c r="H35" s="50"/>
      <c r="I35" s="50"/>
      <c r="J35" s="71"/>
      <c r="K35" s="50"/>
      <c r="L35" s="50"/>
      <c r="M35" s="50"/>
      <c r="N35" s="71"/>
      <c r="O35" s="58"/>
      <c r="P35" s="50"/>
      <c r="Q35" s="50"/>
      <c r="R35" s="55"/>
      <c r="S35" s="71"/>
      <c r="T35" s="50"/>
      <c r="U35" s="50"/>
      <c r="V35" s="70"/>
      <c r="W35" s="71"/>
      <c r="X35" s="50"/>
      <c r="Y35" s="50"/>
      <c r="Z35" s="70"/>
      <c r="AA35" s="58"/>
      <c r="AB35" s="50"/>
      <c r="AD35" s="50"/>
      <c r="AE35" s="55"/>
      <c r="AF35" s="71"/>
      <c r="AG35" s="50"/>
      <c r="AH35" s="50"/>
      <c r="AI35" s="70"/>
      <c r="AJ35" s="71"/>
      <c r="AK35" s="50"/>
      <c r="AL35" s="50"/>
      <c r="AM35" s="70"/>
      <c r="AN35" s="71"/>
      <c r="AO35" s="50"/>
      <c r="AP35" s="50"/>
      <c r="AQ35" s="55"/>
    </row>
    <row r="36" spans="1:43" ht="15" customHeight="1" x14ac:dyDescent="0.35">
      <c r="A36" s="162"/>
      <c r="B36" s="162"/>
      <c r="C36" s="129"/>
      <c r="D36" s="129"/>
      <c r="E36" s="139"/>
      <c r="F36" s="71"/>
      <c r="G36" s="50"/>
      <c r="H36" s="50"/>
      <c r="I36" s="55"/>
      <c r="J36" s="71"/>
      <c r="K36" s="50"/>
      <c r="L36" s="50"/>
      <c r="M36" s="50"/>
      <c r="N36" s="71"/>
      <c r="O36" s="58"/>
      <c r="P36" s="50"/>
      <c r="Q36" s="50"/>
      <c r="R36" s="55"/>
      <c r="S36" s="71"/>
      <c r="T36" s="50"/>
      <c r="U36" s="50"/>
      <c r="V36" s="70"/>
      <c r="W36" s="71"/>
      <c r="X36" s="50"/>
      <c r="Y36" s="50"/>
      <c r="Z36" s="70"/>
      <c r="AA36" s="58"/>
      <c r="AB36" s="50"/>
      <c r="AD36" s="50"/>
      <c r="AE36" s="55"/>
      <c r="AF36" s="71"/>
      <c r="AG36" s="50"/>
      <c r="AH36" s="50"/>
      <c r="AI36" s="70"/>
      <c r="AJ36" s="71"/>
      <c r="AK36" s="50"/>
      <c r="AL36" s="50"/>
      <c r="AM36" s="70"/>
      <c r="AN36" s="71"/>
      <c r="AO36" s="50"/>
      <c r="AP36" s="50"/>
      <c r="AQ36" s="55"/>
    </row>
    <row r="37" spans="1:43" ht="15" customHeight="1" x14ac:dyDescent="0.35">
      <c r="A37" s="162"/>
      <c r="B37" s="162"/>
      <c r="C37" s="129"/>
      <c r="D37" s="129"/>
      <c r="E37" s="139"/>
      <c r="F37" s="71"/>
      <c r="G37" s="50"/>
      <c r="H37" s="50"/>
      <c r="I37" s="55"/>
      <c r="J37" s="71"/>
      <c r="K37" s="50"/>
      <c r="L37" s="50"/>
      <c r="M37" s="50"/>
      <c r="N37" s="71"/>
      <c r="O37" s="58"/>
      <c r="P37" s="50"/>
      <c r="Q37" s="50"/>
      <c r="R37" s="55"/>
      <c r="S37" s="71"/>
      <c r="T37" s="50"/>
      <c r="U37" s="50"/>
      <c r="V37" s="70"/>
      <c r="W37" s="71"/>
      <c r="X37" s="50"/>
      <c r="Y37" s="50"/>
      <c r="Z37" s="70"/>
      <c r="AA37" s="58"/>
      <c r="AB37" s="50"/>
      <c r="AD37" s="50"/>
      <c r="AE37" s="55"/>
      <c r="AF37" s="71"/>
      <c r="AG37" s="50"/>
      <c r="AH37" s="50"/>
      <c r="AI37" s="70"/>
      <c r="AJ37" s="71"/>
      <c r="AK37" s="50"/>
      <c r="AL37" s="50"/>
      <c r="AM37" s="70"/>
      <c r="AN37" s="71"/>
      <c r="AO37" s="50"/>
      <c r="AP37" s="50"/>
      <c r="AQ37" s="55"/>
    </row>
    <row r="38" spans="1:43" ht="15" customHeight="1" x14ac:dyDescent="0.35">
      <c r="A38" s="162"/>
      <c r="B38" s="162"/>
      <c r="C38" s="129"/>
      <c r="D38" s="129"/>
      <c r="E38" s="139"/>
      <c r="F38" s="71"/>
      <c r="G38" s="50"/>
      <c r="H38" s="50"/>
      <c r="I38" s="55"/>
      <c r="J38" s="71"/>
      <c r="K38" s="50"/>
      <c r="L38" s="50"/>
      <c r="M38" s="50"/>
      <c r="N38" s="71"/>
      <c r="O38" s="58"/>
      <c r="P38" s="50"/>
      <c r="Q38" s="50"/>
      <c r="R38" s="55"/>
      <c r="S38" s="71"/>
      <c r="T38" s="50"/>
      <c r="U38" s="50"/>
      <c r="V38" s="70"/>
      <c r="W38" s="71"/>
      <c r="X38" s="50"/>
      <c r="Y38" s="50"/>
      <c r="Z38" s="70"/>
      <c r="AA38" s="58"/>
      <c r="AB38" s="50"/>
      <c r="AD38" s="50"/>
      <c r="AE38" s="55"/>
      <c r="AF38" s="71"/>
      <c r="AG38" s="50"/>
      <c r="AH38" s="50"/>
      <c r="AI38" s="70"/>
      <c r="AJ38" s="71"/>
      <c r="AK38" s="50"/>
      <c r="AL38" s="50"/>
      <c r="AM38" s="70"/>
      <c r="AN38" s="71"/>
      <c r="AO38" s="50"/>
      <c r="AP38" s="50"/>
      <c r="AQ38" s="55"/>
    </row>
    <row r="39" spans="1:43" ht="15" customHeight="1" x14ac:dyDescent="0.35">
      <c r="A39" s="162"/>
      <c r="B39" s="162"/>
      <c r="C39" s="129"/>
      <c r="D39" s="129"/>
      <c r="E39" s="139"/>
      <c r="F39" s="71"/>
      <c r="G39" s="50"/>
      <c r="H39" s="50"/>
      <c r="I39" s="55"/>
      <c r="J39" s="71"/>
      <c r="K39" s="50"/>
      <c r="L39" s="50"/>
      <c r="M39" s="50"/>
      <c r="N39" s="71"/>
      <c r="O39" s="58"/>
      <c r="P39" s="50"/>
      <c r="Q39" s="50"/>
      <c r="R39" s="55"/>
      <c r="S39" s="71"/>
      <c r="T39" s="50"/>
      <c r="U39" s="50"/>
      <c r="V39" s="70"/>
      <c r="W39" s="71"/>
      <c r="X39" s="50"/>
      <c r="Y39" s="50"/>
      <c r="Z39" s="70"/>
      <c r="AA39" s="58"/>
      <c r="AB39" s="50"/>
      <c r="AD39" s="50"/>
      <c r="AE39" s="55"/>
      <c r="AF39" s="71"/>
      <c r="AG39" s="50"/>
      <c r="AH39" s="50"/>
      <c r="AI39" s="70"/>
      <c r="AJ39" s="71"/>
      <c r="AK39" s="50"/>
      <c r="AL39" s="50"/>
      <c r="AM39" s="70"/>
      <c r="AN39" s="71"/>
      <c r="AO39" s="50"/>
      <c r="AP39" s="50"/>
      <c r="AQ39" s="55"/>
    </row>
    <row r="40" spans="1:43" ht="15" customHeight="1" x14ac:dyDescent="0.35">
      <c r="A40" s="162"/>
      <c r="B40" s="162"/>
      <c r="C40" s="129"/>
      <c r="D40" s="129"/>
      <c r="E40" s="139"/>
      <c r="F40" s="71"/>
      <c r="G40" s="50"/>
      <c r="H40" s="50"/>
      <c r="I40" s="55"/>
      <c r="J40" s="71"/>
      <c r="K40" s="50"/>
      <c r="L40" s="50"/>
      <c r="M40" s="50"/>
      <c r="N40" s="71"/>
      <c r="O40" s="58"/>
      <c r="P40" s="50"/>
      <c r="Q40" s="50"/>
      <c r="R40" s="55"/>
      <c r="S40" s="71"/>
      <c r="T40" s="50"/>
      <c r="U40" s="50"/>
      <c r="V40" s="70"/>
      <c r="W40" s="71"/>
      <c r="X40" s="50"/>
      <c r="Y40" s="50"/>
      <c r="Z40" s="70"/>
      <c r="AA40" s="58"/>
      <c r="AB40" s="50"/>
      <c r="AD40" s="50"/>
      <c r="AE40" s="55"/>
      <c r="AF40" s="71"/>
      <c r="AG40" s="50"/>
      <c r="AH40" s="50"/>
      <c r="AI40" s="70"/>
      <c r="AJ40" s="71"/>
      <c r="AK40" s="50"/>
      <c r="AL40" s="50"/>
      <c r="AM40" s="70"/>
      <c r="AN40" s="71"/>
      <c r="AO40" s="50"/>
      <c r="AP40" s="50"/>
      <c r="AQ40" s="55"/>
    </row>
    <row r="41" spans="1:43" ht="15" customHeight="1" x14ac:dyDescent="0.35">
      <c r="A41" s="162"/>
      <c r="B41" s="162"/>
      <c r="C41" s="129"/>
      <c r="D41" s="129"/>
      <c r="E41" s="139"/>
      <c r="F41" s="71"/>
      <c r="G41" s="50"/>
      <c r="H41" s="50"/>
      <c r="I41" s="55"/>
      <c r="J41" s="71"/>
      <c r="K41" s="50"/>
      <c r="L41" s="50"/>
      <c r="M41" s="50"/>
      <c r="N41" s="71"/>
      <c r="O41" s="58"/>
      <c r="P41" s="50"/>
      <c r="Q41" s="50"/>
      <c r="R41" s="55"/>
      <c r="S41" s="71"/>
      <c r="T41" s="50"/>
      <c r="U41" s="50"/>
      <c r="V41" s="70"/>
      <c r="W41" s="71"/>
      <c r="X41" s="50"/>
      <c r="Y41" s="50"/>
      <c r="Z41" s="70"/>
      <c r="AA41" s="58"/>
      <c r="AB41" s="50"/>
      <c r="AD41" s="50"/>
      <c r="AE41" s="55"/>
      <c r="AF41" s="71"/>
      <c r="AG41" s="50"/>
      <c r="AH41" s="50"/>
      <c r="AI41" s="70"/>
      <c r="AJ41" s="71"/>
      <c r="AK41" s="50"/>
      <c r="AL41" s="50"/>
      <c r="AM41" s="70"/>
      <c r="AN41" s="71"/>
      <c r="AO41" s="50"/>
      <c r="AP41" s="50"/>
      <c r="AQ41" s="55"/>
    </row>
    <row r="42" spans="1:43" ht="15" customHeight="1" x14ac:dyDescent="0.35">
      <c r="A42" s="162"/>
      <c r="B42" s="162"/>
      <c r="C42" s="129"/>
      <c r="D42" s="129"/>
      <c r="E42" s="139"/>
      <c r="F42" s="71"/>
      <c r="G42" s="50"/>
      <c r="H42" s="50"/>
      <c r="I42" s="55"/>
      <c r="J42" s="71"/>
      <c r="K42" s="50"/>
      <c r="L42" s="50"/>
      <c r="M42" s="50"/>
      <c r="N42" s="71"/>
      <c r="O42" s="58"/>
      <c r="P42" s="50"/>
      <c r="Q42" s="50"/>
      <c r="R42" s="55"/>
      <c r="S42" s="71"/>
      <c r="T42" s="50"/>
      <c r="U42" s="50"/>
      <c r="V42" s="70"/>
      <c r="W42" s="71"/>
      <c r="X42" s="50"/>
      <c r="Y42" s="50"/>
      <c r="Z42" s="70"/>
      <c r="AA42" s="58"/>
      <c r="AB42" s="50"/>
      <c r="AD42" s="50"/>
      <c r="AE42" s="55"/>
      <c r="AF42" s="71"/>
      <c r="AG42" s="50"/>
      <c r="AH42" s="50"/>
      <c r="AI42" s="70"/>
      <c r="AJ42" s="71"/>
      <c r="AK42" s="50"/>
      <c r="AL42" s="50"/>
      <c r="AM42" s="70"/>
      <c r="AN42" s="71"/>
      <c r="AO42" s="50"/>
      <c r="AP42" s="50"/>
      <c r="AQ42" s="55"/>
    </row>
    <row r="43" spans="1:43" ht="15" customHeight="1" x14ac:dyDescent="0.35">
      <c r="A43" s="162"/>
      <c r="B43" s="162"/>
      <c r="C43" s="129"/>
      <c r="D43" s="129"/>
      <c r="E43" s="139"/>
      <c r="F43" s="71"/>
      <c r="G43" s="50"/>
      <c r="H43" s="50"/>
      <c r="I43" s="55"/>
      <c r="J43" s="71"/>
      <c r="K43" s="50"/>
      <c r="L43" s="50"/>
      <c r="M43" s="50"/>
      <c r="N43" s="71"/>
      <c r="O43" s="58"/>
      <c r="P43" s="50"/>
      <c r="Q43" s="50"/>
      <c r="R43" s="55"/>
      <c r="S43" s="71"/>
      <c r="T43" s="50"/>
      <c r="U43" s="50"/>
      <c r="V43" s="70"/>
      <c r="W43" s="71"/>
      <c r="X43" s="50"/>
      <c r="Y43" s="50"/>
      <c r="Z43" s="70"/>
      <c r="AA43" s="58"/>
      <c r="AB43" s="50"/>
      <c r="AD43" s="50"/>
      <c r="AE43" s="55"/>
      <c r="AF43" s="71"/>
      <c r="AG43" s="50"/>
      <c r="AH43" s="50"/>
      <c r="AI43" s="70"/>
      <c r="AJ43" s="71"/>
      <c r="AK43" s="50"/>
      <c r="AL43" s="50"/>
      <c r="AM43" s="70"/>
      <c r="AN43" s="71"/>
      <c r="AO43" s="50"/>
      <c r="AP43" s="50"/>
      <c r="AQ43" s="55"/>
    </row>
    <row r="44" spans="1:43" ht="15" customHeight="1" x14ac:dyDescent="0.35">
      <c r="A44" s="162"/>
      <c r="B44" s="162"/>
      <c r="C44" s="129"/>
      <c r="D44" s="129"/>
      <c r="E44" s="139"/>
      <c r="F44" s="71"/>
      <c r="G44" s="50"/>
      <c r="H44" s="50"/>
      <c r="I44" s="55"/>
      <c r="J44" s="71"/>
      <c r="K44" s="50"/>
      <c r="L44" s="50"/>
      <c r="M44" s="50"/>
      <c r="N44" s="71"/>
      <c r="O44" s="58"/>
      <c r="P44" s="50"/>
      <c r="Q44" s="50"/>
      <c r="R44" s="55"/>
      <c r="S44" s="71"/>
      <c r="T44" s="50"/>
      <c r="U44" s="50"/>
      <c r="V44" s="70"/>
      <c r="W44" s="71"/>
      <c r="X44" s="50"/>
      <c r="Y44" s="50"/>
      <c r="Z44" s="70"/>
      <c r="AA44" s="58"/>
      <c r="AB44" s="50"/>
      <c r="AD44" s="50"/>
      <c r="AE44" s="55"/>
      <c r="AF44" s="71"/>
      <c r="AG44" s="50"/>
      <c r="AH44" s="50"/>
      <c r="AI44" s="70"/>
      <c r="AJ44" s="71"/>
      <c r="AK44" s="50"/>
      <c r="AL44" s="50"/>
      <c r="AM44" s="70"/>
      <c r="AN44" s="71"/>
      <c r="AO44" s="50"/>
      <c r="AP44" s="50"/>
      <c r="AQ44" s="55"/>
    </row>
    <row r="45" spans="1:43" ht="15" customHeight="1" x14ac:dyDescent="0.35">
      <c r="A45" s="162"/>
      <c r="B45" s="162"/>
      <c r="C45" s="129"/>
      <c r="D45" s="129"/>
      <c r="E45" s="139"/>
      <c r="F45" s="71"/>
      <c r="G45" s="50"/>
      <c r="H45" s="50"/>
      <c r="I45" s="55"/>
      <c r="J45" s="71"/>
      <c r="K45" s="50"/>
      <c r="L45" s="50"/>
      <c r="M45" s="50"/>
      <c r="N45" s="71"/>
      <c r="O45" s="58"/>
      <c r="P45" s="50"/>
      <c r="Q45" s="50"/>
      <c r="R45" s="55"/>
      <c r="S45" s="71"/>
      <c r="T45" s="50"/>
      <c r="U45" s="50"/>
      <c r="V45" s="70"/>
      <c r="W45" s="71"/>
      <c r="X45" s="50"/>
      <c r="Y45" s="50"/>
      <c r="Z45" s="70"/>
      <c r="AA45" s="58"/>
      <c r="AB45" s="50"/>
      <c r="AD45" s="50"/>
      <c r="AE45" s="55"/>
      <c r="AF45" s="71"/>
      <c r="AG45" s="50"/>
      <c r="AH45" s="50"/>
      <c r="AI45" s="70"/>
      <c r="AJ45" s="71"/>
      <c r="AK45" s="50"/>
      <c r="AL45" s="50"/>
      <c r="AM45" s="70"/>
      <c r="AN45" s="71"/>
      <c r="AO45" s="50"/>
      <c r="AP45" s="50"/>
      <c r="AQ45" s="55"/>
    </row>
    <row r="46" spans="1:43" ht="15" customHeight="1" thickBot="1" x14ac:dyDescent="0.4">
      <c r="A46" s="162"/>
      <c r="B46" s="162"/>
      <c r="C46" s="130"/>
      <c r="D46" s="130"/>
      <c r="E46" s="137"/>
      <c r="F46" s="73"/>
      <c r="G46" s="52"/>
      <c r="H46" s="52"/>
      <c r="I46" s="72"/>
      <c r="J46" s="73"/>
      <c r="K46" s="52"/>
      <c r="L46" s="52"/>
      <c r="M46" s="72"/>
      <c r="N46" s="52"/>
      <c r="O46" s="52"/>
      <c r="P46" s="52"/>
      <c r="Q46" s="52"/>
      <c r="R46" s="52"/>
      <c r="S46" s="73"/>
      <c r="T46" s="52"/>
      <c r="U46" s="52"/>
      <c r="V46" s="72"/>
      <c r="W46" s="73"/>
      <c r="X46" s="52"/>
      <c r="Y46" s="52"/>
      <c r="Z46" s="72"/>
      <c r="AA46" s="52"/>
      <c r="AB46" s="52"/>
      <c r="AC46" s="52"/>
      <c r="AD46" s="52"/>
      <c r="AE46" s="52"/>
      <c r="AF46" s="73"/>
      <c r="AG46" s="52"/>
      <c r="AH46" s="52"/>
      <c r="AI46" s="72"/>
      <c r="AJ46" s="73"/>
      <c r="AK46" s="52"/>
      <c r="AL46" s="52"/>
      <c r="AM46" s="72"/>
      <c r="AN46" s="73"/>
      <c r="AO46" s="52"/>
      <c r="AP46" s="52"/>
      <c r="AQ46" s="138"/>
    </row>
    <row r="47" spans="1:43" s="128" customFormat="1" x14ac:dyDescent="0.35"/>
    <row r="48" spans="1:43" s="128" customFormat="1" x14ac:dyDescent="0.35"/>
    <row r="49" spans="1:44" ht="18" customHeight="1" thickBot="1" x14ac:dyDescent="0.5">
      <c r="B49" s="103"/>
      <c r="C49" s="126"/>
      <c r="D49" s="126" t="s">
        <v>11</v>
      </c>
      <c r="E49" s="107" t="s">
        <v>72</v>
      </c>
      <c r="F49" s="283" t="s">
        <v>34</v>
      </c>
      <c r="G49" s="284"/>
      <c r="H49" s="284"/>
      <c r="I49" s="285"/>
      <c r="J49" s="283" t="s">
        <v>23</v>
      </c>
      <c r="K49" s="284"/>
      <c r="L49" s="284"/>
      <c r="M49" s="285"/>
      <c r="N49" s="283" t="s">
        <v>35</v>
      </c>
      <c r="O49" s="284"/>
      <c r="P49" s="284"/>
      <c r="Q49" s="284"/>
      <c r="R49" s="285"/>
      <c r="S49" s="283" t="s">
        <v>36</v>
      </c>
      <c r="T49" s="284"/>
      <c r="U49" s="284"/>
      <c r="V49" s="285"/>
      <c r="W49" s="283" t="s">
        <v>26</v>
      </c>
      <c r="X49" s="284"/>
      <c r="Y49" s="284"/>
      <c r="Z49" s="285"/>
      <c r="AA49" s="283" t="s">
        <v>37</v>
      </c>
      <c r="AB49" s="284"/>
      <c r="AC49" s="284"/>
      <c r="AD49" s="284"/>
      <c r="AE49" s="285"/>
      <c r="AF49" s="283" t="s">
        <v>28</v>
      </c>
      <c r="AG49" s="284"/>
      <c r="AH49" s="284"/>
      <c r="AI49" s="285"/>
      <c r="AJ49" s="283" t="s">
        <v>29</v>
      </c>
      <c r="AK49" s="284"/>
      <c r="AL49" s="284"/>
      <c r="AM49" s="285"/>
      <c r="AN49" s="283" t="s">
        <v>30</v>
      </c>
      <c r="AO49" s="284"/>
      <c r="AP49" s="284"/>
      <c r="AQ49" s="285"/>
      <c r="AR49" s="102"/>
    </row>
    <row r="50" spans="1:44" s="104" customFormat="1" ht="18" customHeight="1" x14ac:dyDescent="0.35">
      <c r="A50" s="286" t="s">
        <v>63</v>
      </c>
      <c r="B50" s="286"/>
      <c r="C50" s="280"/>
      <c r="D50" s="280"/>
      <c r="E50" s="280"/>
      <c r="F50" s="74"/>
      <c r="G50" s="53"/>
      <c r="H50" s="53"/>
      <c r="I50" s="53"/>
      <c r="J50" s="74"/>
      <c r="K50" s="53"/>
      <c r="L50" s="53"/>
      <c r="M50" s="53"/>
      <c r="N50" s="74"/>
      <c r="O50" s="67"/>
      <c r="P50" s="53"/>
      <c r="Q50" s="53"/>
      <c r="R50" s="66"/>
      <c r="S50" s="74"/>
      <c r="T50" s="53"/>
      <c r="U50" s="53"/>
      <c r="V50" s="75"/>
      <c r="W50" s="74"/>
      <c r="X50" s="53"/>
      <c r="Y50" s="53"/>
      <c r="Z50" s="75"/>
      <c r="AA50" s="74"/>
      <c r="AB50" s="53"/>
      <c r="AC50" s="53"/>
      <c r="AD50" s="53"/>
      <c r="AE50" s="75"/>
      <c r="AF50" s="74"/>
      <c r="AG50" s="53"/>
      <c r="AH50" s="53"/>
      <c r="AI50" s="75"/>
      <c r="AJ50" s="74"/>
      <c r="AK50" s="53"/>
      <c r="AL50" s="53"/>
      <c r="AM50" s="75"/>
      <c r="AN50" s="74"/>
      <c r="AO50" s="53"/>
      <c r="AP50" s="53"/>
      <c r="AQ50" s="66"/>
      <c r="AR50" s="102"/>
    </row>
    <row r="51" spans="1:44" ht="18" customHeight="1" x14ac:dyDescent="0.35">
      <c r="A51" s="286"/>
      <c r="B51" s="286"/>
      <c r="C51" s="287"/>
      <c r="D51" s="287"/>
      <c r="E51" s="287"/>
      <c r="F51" s="71"/>
      <c r="G51" s="50"/>
      <c r="H51" s="50"/>
      <c r="I51" s="50"/>
      <c r="J51" s="71"/>
      <c r="K51" s="50"/>
      <c r="L51" s="50"/>
      <c r="M51" s="50"/>
      <c r="N51" s="71"/>
      <c r="O51" s="58"/>
      <c r="P51" s="50"/>
      <c r="Q51" s="50"/>
      <c r="R51" s="55"/>
      <c r="S51" s="71"/>
      <c r="T51" s="50"/>
      <c r="U51" s="50"/>
      <c r="V51" s="70"/>
      <c r="W51" s="71"/>
      <c r="X51" s="50"/>
      <c r="Y51" s="50"/>
      <c r="Z51" s="70"/>
      <c r="AA51" s="71"/>
      <c r="AB51" s="50"/>
      <c r="AC51" s="50"/>
      <c r="AD51" s="50"/>
      <c r="AE51" s="70"/>
      <c r="AF51" s="71"/>
      <c r="AG51" s="50"/>
      <c r="AH51" s="50"/>
      <c r="AI51" s="70"/>
      <c r="AJ51" s="71"/>
      <c r="AK51" s="50"/>
      <c r="AL51" s="50"/>
      <c r="AM51" s="70"/>
      <c r="AN51" s="71"/>
      <c r="AO51" s="50"/>
      <c r="AP51" s="50"/>
      <c r="AQ51" s="55"/>
      <c r="AR51" s="102"/>
    </row>
    <row r="52" spans="1:44" ht="18" customHeight="1" x14ac:dyDescent="0.35">
      <c r="A52" s="286"/>
      <c r="B52" s="286"/>
      <c r="C52" s="287"/>
      <c r="D52" s="287"/>
      <c r="E52" s="287"/>
      <c r="F52" s="71"/>
      <c r="G52" s="50"/>
      <c r="H52" s="50"/>
      <c r="I52" s="50"/>
      <c r="J52" s="71"/>
      <c r="K52" s="50"/>
      <c r="L52" s="50"/>
      <c r="M52" s="50"/>
      <c r="N52" s="71"/>
      <c r="O52" s="58"/>
      <c r="P52" s="50"/>
      <c r="Q52" s="50"/>
      <c r="R52" s="55"/>
      <c r="S52" s="71"/>
      <c r="T52" s="50"/>
      <c r="U52" s="50"/>
      <c r="V52" s="70"/>
      <c r="W52" s="71"/>
      <c r="X52" s="50"/>
      <c r="Y52" s="50"/>
      <c r="Z52" s="70"/>
      <c r="AA52" s="71"/>
      <c r="AB52" s="50"/>
      <c r="AC52" s="50"/>
      <c r="AD52" s="50"/>
      <c r="AE52" s="70"/>
      <c r="AF52" s="71"/>
      <c r="AG52" s="50"/>
      <c r="AH52" s="50"/>
      <c r="AI52" s="70"/>
      <c r="AJ52" s="71"/>
      <c r="AK52" s="50"/>
      <c r="AL52" s="50"/>
      <c r="AM52" s="70"/>
      <c r="AN52" s="71"/>
      <c r="AO52" s="50"/>
      <c r="AP52" s="50"/>
      <c r="AQ52" s="55"/>
      <c r="AR52" s="102"/>
    </row>
    <row r="53" spans="1:44" ht="18" customHeight="1" x14ac:dyDescent="0.35">
      <c r="A53" s="286"/>
      <c r="B53" s="286"/>
      <c r="C53" s="287"/>
      <c r="D53" s="287"/>
      <c r="E53" s="287"/>
      <c r="F53" s="71"/>
      <c r="G53" s="50"/>
      <c r="H53" s="50"/>
      <c r="I53" s="50"/>
      <c r="J53" s="71"/>
      <c r="K53" s="50"/>
      <c r="L53" s="50"/>
      <c r="M53" s="50"/>
      <c r="N53" s="71"/>
      <c r="O53" s="58"/>
      <c r="P53" s="50"/>
      <c r="Q53" s="50"/>
      <c r="R53" s="55"/>
      <c r="S53" s="71"/>
      <c r="T53" s="50"/>
      <c r="U53" s="50"/>
      <c r="V53" s="70"/>
      <c r="W53" s="71"/>
      <c r="X53" s="50"/>
      <c r="Y53" s="50"/>
      <c r="Z53" s="70"/>
      <c r="AA53" s="71"/>
      <c r="AB53" s="50"/>
      <c r="AC53" s="50"/>
      <c r="AD53" s="50"/>
      <c r="AE53" s="70"/>
      <c r="AF53" s="71"/>
      <c r="AG53" s="50"/>
      <c r="AH53" s="50"/>
      <c r="AI53" s="70"/>
      <c r="AJ53" s="71"/>
      <c r="AK53" s="50"/>
      <c r="AL53" s="50"/>
      <c r="AM53" s="70"/>
      <c r="AN53" s="71"/>
      <c r="AO53" s="50"/>
      <c r="AP53" s="50"/>
      <c r="AQ53" s="55"/>
      <c r="AR53" s="102"/>
    </row>
    <row r="54" spans="1:44" ht="18" customHeight="1" x14ac:dyDescent="0.35">
      <c r="A54" s="286"/>
      <c r="B54" s="286"/>
      <c r="C54" s="287"/>
      <c r="D54" s="287"/>
      <c r="E54" s="287"/>
      <c r="F54" s="71"/>
      <c r="G54" s="50"/>
      <c r="H54" s="50"/>
      <c r="I54" s="50"/>
      <c r="J54" s="71"/>
      <c r="K54" s="50"/>
      <c r="L54" s="50"/>
      <c r="M54" s="50"/>
      <c r="N54" s="71"/>
      <c r="O54" s="58"/>
      <c r="P54" s="50"/>
      <c r="Q54" s="50"/>
      <c r="R54" s="55"/>
      <c r="S54" s="71"/>
      <c r="T54" s="50"/>
      <c r="U54" s="50"/>
      <c r="V54" s="70"/>
      <c r="W54" s="71"/>
      <c r="X54" s="50"/>
      <c r="Y54" s="50"/>
      <c r="Z54" s="70"/>
      <c r="AA54" s="71"/>
      <c r="AB54" s="50"/>
      <c r="AC54" s="50"/>
      <c r="AD54" s="50"/>
      <c r="AE54" s="70"/>
      <c r="AF54" s="71"/>
      <c r="AG54" s="50"/>
      <c r="AH54" s="50"/>
      <c r="AI54" s="70"/>
      <c r="AJ54" s="71"/>
      <c r="AK54" s="50"/>
      <c r="AL54" s="50"/>
      <c r="AM54" s="70"/>
      <c r="AN54" s="71"/>
      <c r="AO54" s="50"/>
      <c r="AP54" s="50"/>
      <c r="AQ54" s="55"/>
      <c r="AR54" s="102"/>
    </row>
    <row r="55" spans="1:44" ht="18" customHeight="1" x14ac:dyDescent="0.35">
      <c r="A55" s="286"/>
      <c r="B55" s="286"/>
      <c r="C55" s="287"/>
      <c r="D55" s="287"/>
      <c r="E55" s="287"/>
      <c r="F55" s="71"/>
      <c r="G55" s="50"/>
      <c r="H55" s="50"/>
      <c r="I55" s="50"/>
      <c r="J55" s="71"/>
      <c r="K55" s="50"/>
      <c r="L55" s="50"/>
      <c r="M55" s="50"/>
      <c r="N55" s="71"/>
      <c r="O55" s="58"/>
      <c r="P55" s="50"/>
      <c r="Q55" s="50"/>
      <c r="R55" s="55"/>
      <c r="S55" s="71"/>
      <c r="T55" s="50"/>
      <c r="U55" s="50"/>
      <c r="V55" s="70"/>
      <c r="W55" s="71"/>
      <c r="X55" s="50"/>
      <c r="Y55" s="50"/>
      <c r="Z55" s="70"/>
      <c r="AA55" s="71"/>
      <c r="AB55" s="50"/>
      <c r="AC55" s="50"/>
      <c r="AD55" s="50"/>
      <c r="AE55" s="70"/>
      <c r="AF55" s="71"/>
      <c r="AG55" s="50"/>
      <c r="AH55" s="50"/>
      <c r="AI55" s="70"/>
      <c r="AJ55" s="71"/>
      <c r="AK55" s="50"/>
      <c r="AL55" s="50"/>
      <c r="AM55" s="70"/>
      <c r="AN55" s="71"/>
      <c r="AO55" s="50"/>
      <c r="AP55" s="50"/>
      <c r="AQ55" s="55"/>
      <c r="AR55" s="102"/>
    </row>
    <row r="56" spans="1:44" ht="18" customHeight="1" x14ac:dyDescent="0.35">
      <c r="A56" s="286"/>
      <c r="B56" s="286"/>
      <c r="C56" s="287"/>
      <c r="D56" s="287"/>
      <c r="E56" s="287"/>
      <c r="F56" s="71"/>
      <c r="G56" s="50"/>
      <c r="H56" s="50"/>
      <c r="I56" s="50"/>
      <c r="J56" s="71"/>
      <c r="K56" s="50"/>
      <c r="L56" s="50"/>
      <c r="M56" s="50"/>
      <c r="N56" s="71"/>
      <c r="O56" s="58"/>
      <c r="P56" s="50"/>
      <c r="Q56" s="50"/>
      <c r="R56" s="55"/>
      <c r="S56" s="71"/>
      <c r="T56" s="50"/>
      <c r="U56" s="50"/>
      <c r="V56" s="70"/>
      <c r="W56" s="71"/>
      <c r="X56" s="50"/>
      <c r="Y56" s="50"/>
      <c r="Z56" s="70"/>
      <c r="AA56" s="71"/>
      <c r="AB56" s="50"/>
      <c r="AC56" s="50"/>
      <c r="AD56" s="50"/>
      <c r="AE56" s="70"/>
      <c r="AF56" s="71"/>
      <c r="AG56" s="50"/>
      <c r="AH56" s="50"/>
      <c r="AI56" s="70"/>
      <c r="AJ56" s="71"/>
      <c r="AK56" s="50"/>
      <c r="AL56" s="50"/>
      <c r="AM56" s="70"/>
      <c r="AN56" s="71"/>
      <c r="AO56" s="50"/>
      <c r="AP56" s="50"/>
      <c r="AQ56" s="55"/>
      <c r="AR56" s="102"/>
    </row>
    <row r="57" spans="1:44" ht="18" customHeight="1" x14ac:dyDescent="0.35">
      <c r="A57" s="286"/>
      <c r="B57" s="286"/>
      <c r="C57" s="287"/>
      <c r="D57" s="287"/>
      <c r="E57" s="287"/>
      <c r="F57" s="71"/>
      <c r="G57" s="50"/>
      <c r="H57" s="50"/>
      <c r="I57" s="50"/>
      <c r="J57" s="71"/>
      <c r="K57" s="50"/>
      <c r="L57" s="50"/>
      <c r="M57" s="50"/>
      <c r="N57" s="71"/>
      <c r="O57" s="58"/>
      <c r="P57" s="50"/>
      <c r="Q57" s="50"/>
      <c r="R57" s="55"/>
      <c r="S57" s="71"/>
      <c r="T57" s="50"/>
      <c r="U57" s="50"/>
      <c r="V57" s="70"/>
      <c r="W57" s="71"/>
      <c r="X57" s="50"/>
      <c r="Y57" s="50"/>
      <c r="Z57" s="70"/>
      <c r="AA57" s="71"/>
      <c r="AB57" s="50"/>
      <c r="AC57" s="50"/>
      <c r="AD57" s="50"/>
      <c r="AE57" s="70"/>
      <c r="AF57" s="71"/>
      <c r="AG57" s="50"/>
      <c r="AH57" s="50"/>
      <c r="AI57" s="70"/>
      <c r="AJ57" s="71"/>
      <c r="AK57" s="50"/>
      <c r="AL57" s="50"/>
      <c r="AM57" s="70"/>
      <c r="AN57" s="71"/>
      <c r="AO57" s="50"/>
      <c r="AP57" s="50"/>
      <c r="AQ57" s="55"/>
      <c r="AR57" s="102"/>
    </row>
    <row r="58" spans="1:44" ht="18" customHeight="1" x14ac:dyDescent="0.35">
      <c r="A58" s="286"/>
      <c r="B58" s="286"/>
      <c r="C58" s="287"/>
      <c r="D58" s="287"/>
      <c r="E58" s="287"/>
      <c r="F58" s="71"/>
      <c r="G58" s="50"/>
      <c r="H58" s="50"/>
      <c r="I58" s="50"/>
      <c r="J58" s="71"/>
      <c r="K58" s="50"/>
      <c r="L58" s="50"/>
      <c r="M58" s="50"/>
      <c r="N58" s="71"/>
      <c r="O58" s="58"/>
      <c r="P58" s="50"/>
      <c r="Q58" s="50"/>
      <c r="R58" s="55"/>
      <c r="S58" s="71"/>
      <c r="T58" s="50"/>
      <c r="U58" s="50"/>
      <c r="V58" s="70"/>
      <c r="W58" s="71"/>
      <c r="X58" s="50"/>
      <c r="Y58" s="50"/>
      <c r="Z58" s="70"/>
      <c r="AA58" s="71"/>
      <c r="AB58" s="50"/>
      <c r="AC58" s="50"/>
      <c r="AD58" s="50"/>
      <c r="AE58" s="70"/>
      <c r="AF58" s="71"/>
      <c r="AG58" s="50"/>
      <c r="AH58" s="50"/>
      <c r="AI58" s="70"/>
      <c r="AJ58" s="71"/>
      <c r="AK58" s="50"/>
      <c r="AL58" s="50"/>
      <c r="AM58" s="70"/>
      <c r="AN58" s="71"/>
      <c r="AO58" s="50"/>
      <c r="AP58" s="50"/>
      <c r="AQ58" s="55"/>
      <c r="AR58" s="102"/>
    </row>
    <row r="59" spans="1:44" ht="18" customHeight="1" x14ac:dyDescent="0.35">
      <c r="A59" s="286"/>
      <c r="B59" s="286"/>
      <c r="C59" s="287"/>
      <c r="D59" s="287"/>
      <c r="E59" s="287"/>
      <c r="F59" s="71"/>
      <c r="G59" s="50"/>
      <c r="H59" s="50"/>
      <c r="I59" s="50"/>
      <c r="J59" s="71"/>
      <c r="K59" s="50"/>
      <c r="L59" s="50"/>
      <c r="M59" s="50"/>
      <c r="N59" s="71"/>
      <c r="O59" s="58"/>
      <c r="P59" s="50"/>
      <c r="Q59" s="50"/>
      <c r="R59" s="55"/>
      <c r="S59" s="71"/>
      <c r="T59" s="50"/>
      <c r="U59" s="50"/>
      <c r="V59" s="70"/>
      <c r="W59" s="71"/>
      <c r="X59" s="50"/>
      <c r="Y59" s="50"/>
      <c r="Z59" s="70"/>
      <c r="AA59" s="71"/>
      <c r="AB59" s="50"/>
      <c r="AC59" s="50"/>
      <c r="AD59" s="50"/>
      <c r="AE59" s="70"/>
      <c r="AF59" s="71"/>
      <c r="AG59" s="50"/>
      <c r="AH59" s="50"/>
      <c r="AI59" s="70"/>
      <c r="AJ59" s="71"/>
      <c r="AK59" s="50"/>
      <c r="AL59" s="50"/>
      <c r="AM59" s="70"/>
      <c r="AN59" s="71"/>
      <c r="AO59" s="50"/>
      <c r="AP59" s="50"/>
      <c r="AQ59" s="55"/>
      <c r="AR59" s="102"/>
    </row>
    <row r="60" spans="1:44" ht="18" customHeight="1" x14ac:dyDescent="0.35">
      <c r="A60" s="286"/>
      <c r="B60" s="286"/>
      <c r="C60" s="287"/>
      <c r="D60" s="287"/>
      <c r="E60" s="287"/>
      <c r="F60" s="71"/>
      <c r="G60" s="50"/>
      <c r="H60" s="50"/>
      <c r="I60" s="50"/>
      <c r="J60" s="71"/>
      <c r="K60" s="50"/>
      <c r="L60" s="50"/>
      <c r="M60" s="50"/>
      <c r="N60" s="71"/>
      <c r="O60" s="58"/>
      <c r="P60" s="50"/>
      <c r="Q60" s="50"/>
      <c r="R60" s="55"/>
      <c r="S60" s="71"/>
      <c r="T60" s="50"/>
      <c r="U60" s="50"/>
      <c r="V60" s="70"/>
      <c r="W60" s="71"/>
      <c r="X60" s="50"/>
      <c r="Y60" s="50"/>
      <c r="Z60" s="70"/>
      <c r="AA60" s="71"/>
      <c r="AB60" s="50"/>
      <c r="AC60" s="50"/>
      <c r="AD60" s="50"/>
      <c r="AE60" s="70"/>
      <c r="AF60" s="71"/>
      <c r="AG60" s="50"/>
      <c r="AH60" s="50"/>
      <c r="AI60" s="70"/>
      <c r="AJ60" s="71"/>
      <c r="AK60" s="50"/>
      <c r="AL60" s="50"/>
      <c r="AM60" s="70"/>
      <c r="AN60" s="71"/>
      <c r="AO60" s="50"/>
      <c r="AP60" s="50"/>
      <c r="AQ60" s="55"/>
      <c r="AR60" s="102"/>
    </row>
    <row r="61" spans="1:44" ht="18" customHeight="1" x14ac:dyDescent="0.35">
      <c r="A61" s="286"/>
      <c r="B61" s="286"/>
      <c r="C61" s="287"/>
      <c r="D61" s="287"/>
      <c r="E61" s="287"/>
      <c r="F61" s="71"/>
      <c r="G61" s="50"/>
      <c r="H61" s="50"/>
      <c r="I61" s="50"/>
      <c r="J61" s="71"/>
      <c r="K61" s="50"/>
      <c r="L61" s="50"/>
      <c r="M61" s="50"/>
      <c r="N61" s="71"/>
      <c r="O61" s="58"/>
      <c r="P61" s="50"/>
      <c r="Q61" s="50"/>
      <c r="R61" s="55"/>
      <c r="S61" s="71"/>
      <c r="T61" s="50"/>
      <c r="U61" s="50"/>
      <c r="V61" s="70"/>
      <c r="W61" s="71"/>
      <c r="X61" s="50"/>
      <c r="Y61" s="50"/>
      <c r="Z61" s="70"/>
      <c r="AA61" s="71"/>
      <c r="AB61" s="50"/>
      <c r="AC61" s="50"/>
      <c r="AD61" s="50"/>
      <c r="AE61" s="70"/>
      <c r="AF61" s="71"/>
      <c r="AG61" s="50"/>
      <c r="AH61" s="50"/>
      <c r="AI61" s="70"/>
      <c r="AJ61" s="71"/>
      <c r="AK61" s="50"/>
      <c r="AL61" s="50"/>
      <c r="AM61" s="70"/>
      <c r="AN61" s="71"/>
      <c r="AO61" s="50"/>
      <c r="AP61" s="50"/>
      <c r="AQ61" s="55"/>
      <c r="AR61" s="102"/>
    </row>
    <row r="62" spans="1:44" ht="18" customHeight="1" x14ac:dyDescent="0.35">
      <c r="A62" s="286"/>
      <c r="B62" s="286"/>
      <c r="C62" s="287"/>
      <c r="D62" s="287"/>
      <c r="E62" s="287"/>
      <c r="F62" s="71"/>
      <c r="G62" s="50"/>
      <c r="H62" s="50"/>
      <c r="I62" s="50"/>
      <c r="J62" s="71"/>
      <c r="K62" s="50"/>
      <c r="L62" s="50"/>
      <c r="M62" s="50"/>
      <c r="N62" s="71"/>
      <c r="O62" s="58"/>
      <c r="P62" s="50"/>
      <c r="Q62" s="50"/>
      <c r="R62" s="55"/>
      <c r="S62" s="71"/>
      <c r="T62" s="50"/>
      <c r="U62" s="50"/>
      <c r="V62" s="70"/>
      <c r="W62" s="71"/>
      <c r="X62" s="50"/>
      <c r="Y62" s="50"/>
      <c r="Z62" s="70"/>
      <c r="AA62" s="71"/>
      <c r="AB62" s="50"/>
      <c r="AC62" s="50"/>
      <c r="AD62" s="50"/>
      <c r="AE62" s="70"/>
      <c r="AF62" s="71"/>
      <c r="AG62" s="50"/>
      <c r="AH62" s="50"/>
      <c r="AI62" s="70"/>
      <c r="AJ62" s="71"/>
      <c r="AK62" s="50"/>
      <c r="AL62" s="50"/>
      <c r="AM62" s="70"/>
      <c r="AN62" s="71"/>
      <c r="AO62" s="50"/>
      <c r="AP62" s="50"/>
      <c r="AQ62" s="55"/>
      <c r="AR62" s="102"/>
    </row>
    <row r="63" spans="1:44" ht="18" customHeight="1" x14ac:dyDescent="0.35">
      <c r="A63" s="286"/>
      <c r="B63" s="286"/>
      <c r="C63" s="287"/>
      <c r="D63" s="287"/>
      <c r="E63" s="287"/>
      <c r="F63" s="71"/>
      <c r="G63" s="50"/>
      <c r="H63" s="50"/>
      <c r="I63" s="50"/>
      <c r="J63" s="71"/>
      <c r="K63" s="50"/>
      <c r="L63" s="50"/>
      <c r="M63" s="50"/>
      <c r="N63" s="71"/>
      <c r="O63" s="58"/>
      <c r="P63" s="50"/>
      <c r="Q63" s="50"/>
      <c r="R63" s="55"/>
      <c r="S63" s="71"/>
      <c r="T63" s="50"/>
      <c r="U63" s="50"/>
      <c r="V63" s="70"/>
      <c r="W63" s="71"/>
      <c r="X63" s="50"/>
      <c r="Y63" s="50"/>
      <c r="Z63" s="70"/>
      <c r="AA63" s="71"/>
      <c r="AB63" s="50"/>
      <c r="AC63" s="50"/>
      <c r="AD63" s="50"/>
      <c r="AE63" s="70"/>
      <c r="AF63" s="71"/>
      <c r="AG63" s="50"/>
      <c r="AH63" s="50"/>
      <c r="AI63" s="70"/>
      <c r="AJ63" s="71"/>
      <c r="AK63" s="50"/>
      <c r="AL63" s="50"/>
      <c r="AM63" s="70"/>
      <c r="AN63" s="71"/>
      <c r="AO63" s="50"/>
      <c r="AP63" s="50"/>
      <c r="AQ63" s="55"/>
      <c r="AR63" s="102"/>
    </row>
    <row r="64" spans="1:44" ht="18" customHeight="1" x14ac:dyDescent="0.35">
      <c r="A64" s="286"/>
      <c r="B64" s="286"/>
      <c r="C64" s="287"/>
      <c r="D64" s="287"/>
      <c r="E64" s="287"/>
      <c r="F64" s="71"/>
      <c r="G64" s="50"/>
      <c r="H64" s="50"/>
      <c r="I64" s="50"/>
      <c r="J64" s="71"/>
      <c r="K64" s="50"/>
      <c r="L64" s="50"/>
      <c r="M64" s="50"/>
      <c r="N64" s="71"/>
      <c r="O64" s="58"/>
      <c r="P64" s="50"/>
      <c r="Q64" s="50">
        <v>24</v>
      </c>
      <c r="R64" s="55">
        <v>30</v>
      </c>
      <c r="S64" s="71">
        <v>8</v>
      </c>
      <c r="T64" s="50">
        <v>15</v>
      </c>
      <c r="U64" s="50">
        <v>21</v>
      </c>
      <c r="V64" s="70">
        <v>28</v>
      </c>
      <c r="W64" s="71"/>
      <c r="X64" s="50"/>
      <c r="Y64" s="50"/>
      <c r="Z64" s="70"/>
      <c r="AA64" s="71"/>
      <c r="AB64" s="50"/>
      <c r="AC64" s="50"/>
      <c r="AD64" s="50"/>
      <c r="AE64" s="70"/>
      <c r="AF64" s="71"/>
      <c r="AG64" s="50"/>
      <c r="AH64" s="50"/>
      <c r="AI64" s="70"/>
      <c r="AJ64" s="71"/>
      <c r="AK64" s="50"/>
      <c r="AL64" s="50"/>
      <c r="AM64" s="70"/>
      <c r="AN64" s="71"/>
      <c r="AO64" s="50"/>
      <c r="AP64" s="50"/>
      <c r="AQ64" s="55"/>
      <c r="AR64" s="102"/>
    </row>
    <row r="65" spans="1:44" ht="18" customHeight="1" x14ac:dyDescent="0.35">
      <c r="A65" s="286"/>
      <c r="B65" s="286"/>
      <c r="C65" s="287"/>
      <c r="D65" s="287"/>
      <c r="E65" s="287"/>
      <c r="F65" s="71"/>
      <c r="G65" s="50"/>
      <c r="H65" s="50"/>
      <c r="I65" s="50"/>
      <c r="J65" s="71"/>
      <c r="K65" s="50"/>
      <c r="L65" s="50"/>
      <c r="M65" s="50"/>
      <c r="N65" s="71"/>
      <c r="O65" s="58"/>
      <c r="P65" s="50"/>
      <c r="Q65" s="50"/>
      <c r="R65" s="55"/>
      <c r="S65" s="71"/>
      <c r="T65" s="50"/>
      <c r="U65" s="50"/>
      <c r="V65" s="70"/>
      <c r="W65" s="71"/>
      <c r="X65" s="50"/>
      <c r="Y65" s="50"/>
      <c r="Z65" s="70"/>
      <c r="AA65" s="71"/>
      <c r="AB65" s="50"/>
      <c r="AC65" s="50"/>
      <c r="AD65" s="50"/>
      <c r="AE65" s="70"/>
      <c r="AF65" s="71"/>
      <c r="AG65" s="50"/>
      <c r="AH65" s="50"/>
      <c r="AI65" s="70"/>
      <c r="AJ65" s="71"/>
      <c r="AK65" s="50"/>
      <c r="AL65" s="50"/>
      <c r="AM65" s="70"/>
      <c r="AN65" s="71"/>
      <c r="AO65" s="50"/>
      <c r="AP65" s="50"/>
      <c r="AQ65" s="55"/>
      <c r="AR65" s="102"/>
    </row>
    <row r="66" spans="1:44" ht="18" customHeight="1" x14ac:dyDescent="0.35">
      <c r="A66" s="286"/>
      <c r="B66" s="286"/>
      <c r="C66" s="287"/>
      <c r="D66" s="287"/>
      <c r="E66" s="287"/>
      <c r="F66" s="71"/>
      <c r="G66" s="50"/>
      <c r="H66" s="50"/>
      <c r="I66" s="50"/>
      <c r="J66" s="71"/>
      <c r="K66" s="50"/>
      <c r="L66" s="50"/>
      <c r="M66" s="50"/>
      <c r="N66" s="71"/>
      <c r="O66" s="58"/>
      <c r="P66" s="50"/>
      <c r="Q66" s="50"/>
      <c r="R66" s="55"/>
      <c r="S66" s="71"/>
      <c r="T66" s="50"/>
      <c r="U66" s="50"/>
      <c r="V66" s="70"/>
      <c r="W66" s="71"/>
      <c r="X66" s="50"/>
      <c r="Y66" s="50"/>
      <c r="Z66" s="70"/>
      <c r="AA66" s="71"/>
      <c r="AB66" s="50"/>
      <c r="AC66" s="50"/>
      <c r="AD66" s="50"/>
      <c r="AE66" s="70"/>
      <c r="AF66" s="71"/>
      <c r="AG66" s="50"/>
      <c r="AH66" s="50"/>
      <c r="AI66" s="70"/>
      <c r="AJ66" s="71"/>
      <c r="AK66" s="50"/>
      <c r="AL66" s="50"/>
      <c r="AM66" s="70"/>
      <c r="AN66" s="71"/>
      <c r="AO66" s="50"/>
      <c r="AP66" s="50"/>
      <c r="AQ66" s="55"/>
      <c r="AR66" s="102"/>
    </row>
    <row r="67" spans="1:44" ht="18" customHeight="1" x14ac:dyDescent="0.35">
      <c r="A67" s="286"/>
      <c r="B67" s="286"/>
      <c r="C67" s="287"/>
      <c r="D67" s="287"/>
      <c r="E67" s="287"/>
      <c r="F67" s="71"/>
      <c r="G67" s="50"/>
      <c r="H67" s="50"/>
      <c r="I67" s="50"/>
      <c r="J67" s="71"/>
      <c r="K67" s="50"/>
      <c r="L67" s="50"/>
      <c r="M67" s="50"/>
      <c r="N67" s="71"/>
      <c r="O67" s="58"/>
      <c r="P67" s="50"/>
      <c r="Q67" s="50"/>
      <c r="R67" s="55"/>
      <c r="S67" s="71"/>
      <c r="T67" s="50"/>
      <c r="U67" s="50"/>
      <c r="V67" s="70"/>
      <c r="W67" s="71"/>
      <c r="X67" s="50"/>
      <c r="Y67" s="50"/>
      <c r="Z67" s="70"/>
      <c r="AA67" s="71"/>
      <c r="AB67" s="50"/>
      <c r="AC67" s="50"/>
      <c r="AD67" s="50"/>
      <c r="AE67" s="70"/>
      <c r="AF67" s="71"/>
      <c r="AG67" s="50"/>
      <c r="AH67" s="50"/>
      <c r="AI67" s="70"/>
      <c r="AJ67" s="71"/>
      <c r="AK67" s="50"/>
      <c r="AL67" s="50"/>
      <c r="AM67" s="70"/>
      <c r="AN67" s="71"/>
      <c r="AO67" s="50"/>
      <c r="AP67" s="50"/>
      <c r="AQ67" s="55"/>
      <c r="AR67" s="102"/>
    </row>
    <row r="68" spans="1:44" ht="18" customHeight="1" x14ac:dyDescent="0.35">
      <c r="A68" s="286"/>
      <c r="B68" s="286"/>
      <c r="C68" s="281"/>
      <c r="D68" s="281"/>
      <c r="E68" s="281"/>
      <c r="F68" s="71"/>
      <c r="G68" s="50"/>
      <c r="H68" s="50"/>
      <c r="I68" s="50"/>
      <c r="J68" s="71"/>
      <c r="K68" s="50"/>
      <c r="L68" s="50"/>
      <c r="M68" s="50"/>
      <c r="N68" s="71"/>
      <c r="O68" s="58"/>
      <c r="P68" s="50"/>
      <c r="Q68" s="50"/>
      <c r="R68" s="55"/>
      <c r="S68" s="71"/>
      <c r="T68" s="50"/>
      <c r="U68" s="50"/>
      <c r="V68" s="70"/>
      <c r="W68" s="71"/>
      <c r="X68" s="50"/>
      <c r="Y68" s="50"/>
      <c r="Z68" s="70"/>
      <c r="AA68" s="71"/>
      <c r="AB68" s="50"/>
      <c r="AC68" s="50"/>
      <c r="AD68" s="50"/>
      <c r="AE68" s="70"/>
      <c r="AF68" s="71"/>
      <c r="AG68" s="50"/>
      <c r="AH68" s="50"/>
      <c r="AI68" s="70"/>
      <c r="AJ68" s="71"/>
      <c r="AK68" s="50"/>
      <c r="AL68" s="50"/>
      <c r="AM68" s="70"/>
      <c r="AN68" s="71"/>
      <c r="AO68" s="50"/>
      <c r="AP68" s="50"/>
      <c r="AQ68" s="55"/>
      <c r="AR68" s="102"/>
    </row>
    <row r="69" spans="1:44" ht="21.75" customHeight="1" x14ac:dyDescent="0.35">
      <c r="A69" s="286"/>
      <c r="B69" s="286"/>
      <c r="C69" s="281"/>
      <c r="D69" s="281"/>
      <c r="E69" s="281"/>
      <c r="F69" s="71"/>
      <c r="G69" s="50"/>
      <c r="H69" s="50"/>
      <c r="I69" s="50"/>
      <c r="J69" s="71"/>
      <c r="K69" s="50"/>
      <c r="L69" s="50"/>
      <c r="M69" s="50"/>
      <c r="N69" s="71"/>
      <c r="O69" s="58"/>
      <c r="P69" s="50"/>
      <c r="Q69" s="50"/>
      <c r="R69" s="55"/>
      <c r="S69" s="71"/>
      <c r="T69" s="50"/>
      <c r="U69" s="50"/>
      <c r="V69" s="70"/>
      <c r="W69" s="71"/>
      <c r="X69" s="50"/>
      <c r="Y69" s="50"/>
      <c r="Z69" s="70"/>
      <c r="AA69" s="71"/>
      <c r="AB69" s="50"/>
      <c r="AC69" s="50"/>
      <c r="AD69" s="50"/>
      <c r="AE69" s="70"/>
      <c r="AF69" s="71"/>
      <c r="AG69" s="50"/>
      <c r="AH69" s="50"/>
      <c r="AI69" s="70"/>
      <c r="AJ69" s="71"/>
      <c r="AK69" s="50"/>
      <c r="AL69" s="50"/>
      <c r="AM69" s="70"/>
      <c r="AN69" s="71"/>
      <c r="AO69" s="50"/>
      <c r="AP69" s="50"/>
      <c r="AQ69" s="55"/>
      <c r="AR69" s="102"/>
    </row>
    <row r="70" spans="1:44" ht="67.5" customHeight="1" x14ac:dyDescent="0.35">
      <c r="A70" s="286"/>
      <c r="B70" s="286"/>
      <c r="C70" s="281"/>
      <c r="D70" s="281"/>
      <c r="E70" s="281"/>
      <c r="F70" s="71"/>
      <c r="G70" s="50"/>
      <c r="H70" s="50"/>
      <c r="I70" s="50"/>
      <c r="J70" s="71"/>
      <c r="K70" s="50"/>
      <c r="M70" s="50"/>
      <c r="N70" s="71"/>
      <c r="O70" s="58"/>
      <c r="P70" s="50"/>
      <c r="Q70" s="50"/>
      <c r="R70" s="55"/>
      <c r="S70" s="71"/>
      <c r="T70" s="50"/>
      <c r="U70" s="50"/>
      <c r="V70" s="70"/>
      <c r="W70" s="71"/>
      <c r="X70" s="50"/>
      <c r="Y70" s="50"/>
      <c r="Z70" s="70"/>
      <c r="AA70" s="71"/>
      <c r="AB70" s="50"/>
      <c r="AC70" s="50"/>
      <c r="AD70" s="50"/>
      <c r="AE70" s="70"/>
      <c r="AF70" s="71"/>
      <c r="AG70" s="50"/>
      <c r="AH70" s="50"/>
      <c r="AI70" s="70"/>
      <c r="AJ70" s="71"/>
      <c r="AK70" s="50"/>
      <c r="AL70" s="50"/>
      <c r="AM70" s="70"/>
      <c r="AN70" s="71"/>
      <c r="AO70" s="50"/>
      <c r="AP70" s="50"/>
      <c r="AQ70" s="55"/>
      <c r="AR70" s="102"/>
    </row>
    <row r="71" spans="1:44" s="16" customFormat="1" ht="171.65" customHeight="1" thickBot="1" x14ac:dyDescent="0.4">
      <c r="A71" s="286"/>
      <c r="B71" s="286"/>
      <c r="C71" s="282"/>
      <c r="D71" s="282"/>
      <c r="E71" s="282"/>
      <c r="F71" s="73"/>
      <c r="G71" s="52"/>
      <c r="H71" s="52"/>
      <c r="I71" s="140"/>
      <c r="J71" s="141"/>
      <c r="K71" s="52"/>
      <c r="L71" s="52"/>
      <c r="M71" s="52"/>
      <c r="N71" s="73"/>
      <c r="O71" s="59"/>
      <c r="P71" s="52"/>
      <c r="Q71" s="52"/>
      <c r="R71" s="72"/>
      <c r="S71" s="73"/>
      <c r="T71" s="52"/>
      <c r="U71" s="52"/>
      <c r="V71" s="72"/>
      <c r="W71" s="73"/>
      <c r="X71" s="52"/>
      <c r="Y71" s="182"/>
      <c r="Z71" s="72"/>
      <c r="AA71" s="73"/>
      <c r="AB71" s="52"/>
      <c r="AD71" s="52"/>
      <c r="AE71" s="72"/>
      <c r="AF71" s="73"/>
      <c r="AG71" s="52"/>
      <c r="AH71" s="52"/>
      <c r="AI71" s="72"/>
      <c r="AJ71" s="73"/>
      <c r="AK71" s="52"/>
      <c r="AL71" s="52"/>
      <c r="AM71" s="72"/>
      <c r="AN71" s="73"/>
      <c r="AO71" s="52"/>
      <c r="AP71" s="52"/>
      <c r="AQ71" s="56"/>
      <c r="AR71" s="102"/>
    </row>
    <row r="72" spans="1:44" s="128" customFormat="1" x14ac:dyDescent="0.35"/>
    <row r="73" spans="1:44" s="128" customFormat="1" x14ac:dyDescent="0.35"/>
    <row r="74" spans="1:44" s="128" customFormat="1" x14ac:dyDescent="0.35"/>
    <row r="75" spans="1:44" ht="15.75" customHeight="1" thickBot="1" x14ac:dyDescent="0.5">
      <c r="B75" s="103"/>
      <c r="C75" s="126"/>
      <c r="D75" s="126" t="s">
        <v>11</v>
      </c>
      <c r="E75" s="107" t="s">
        <v>72</v>
      </c>
      <c r="F75" s="283" t="s">
        <v>34</v>
      </c>
      <c r="G75" s="284"/>
      <c r="H75" s="284"/>
      <c r="I75" s="285"/>
      <c r="J75" s="283" t="s">
        <v>23</v>
      </c>
      <c r="K75" s="284"/>
      <c r="L75" s="284"/>
      <c r="M75" s="285"/>
      <c r="N75" s="283" t="s">
        <v>35</v>
      </c>
      <c r="O75" s="284"/>
      <c r="P75" s="284"/>
      <c r="Q75" s="284"/>
      <c r="R75" s="285"/>
      <c r="S75" s="283" t="s">
        <v>36</v>
      </c>
      <c r="T75" s="284"/>
      <c r="U75" s="284"/>
      <c r="V75" s="285"/>
      <c r="W75" s="283" t="s">
        <v>26</v>
      </c>
      <c r="X75" s="284"/>
      <c r="Y75" s="284"/>
      <c r="Z75" s="285"/>
      <c r="AA75" s="283" t="s">
        <v>37</v>
      </c>
      <c r="AB75" s="284"/>
      <c r="AC75" s="284"/>
      <c r="AD75" s="284"/>
      <c r="AE75" s="285"/>
      <c r="AF75" s="283" t="s">
        <v>28</v>
      </c>
      <c r="AG75" s="284"/>
      <c r="AH75" s="284"/>
      <c r="AI75" s="285"/>
      <c r="AJ75" s="283" t="s">
        <v>29</v>
      </c>
      <c r="AK75" s="284"/>
      <c r="AL75" s="284"/>
      <c r="AM75" s="285"/>
      <c r="AN75" s="283" t="s">
        <v>30</v>
      </c>
      <c r="AO75" s="284"/>
      <c r="AP75" s="284"/>
      <c r="AQ75" s="285"/>
      <c r="AR75" s="102"/>
    </row>
    <row r="76" spans="1:44" s="104" customFormat="1" ht="18" customHeight="1" x14ac:dyDescent="0.35">
      <c r="A76" s="286" t="s">
        <v>94</v>
      </c>
      <c r="B76" s="286"/>
      <c r="C76" s="280"/>
      <c r="D76" s="280"/>
      <c r="E76" s="280"/>
      <c r="F76" s="74"/>
      <c r="G76" s="53"/>
      <c r="H76" s="53"/>
      <c r="I76" s="53"/>
      <c r="J76" s="74"/>
      <c r="K76" s="53"/>
      <c r="L76" s="53"/>
      <c r="M76" s="53"/>
      <c r="N76" s="74"/>
      <c r="O76" s="67"/>
      <c r="P76" s="53"/>
      <c r="Q76" s="53"/>
      <c r="R76" s="66"/>
      <c r="S76" s="74"/>
      <c r="T76" s="53"/>
      <c r="U76" s="53"/>
      <c r="V76" s="75"/>
      <c r="W76" s="74"/>
      <c r="X76" s="53"/>
      <c r="Y76" s="53"/>
      <c r="Z76" s="75"/>
      <c r="AA76" s="74"/>
      <c r="AB76" s="53"/>
      <c r="AC76" s="53"/>
      <c r="AD76" s="53"/>
      <c r="AE76" s="75"/>
      <c r="AF76" s="74"/>
      <c r="AG76" s="53"/>
      <c r="AH76" s="53"/>
      <c r="AI76" s="75"/>
      <c r="AJ76" s="74"/>
      <c r="AK76" s="53"/>
      <c r="AL76" s="53"/>
      <c r="AM76" s="75"/>
      <c r="AN76" s="74"/>
      <c r="AO76" s="53"/>
      <c r="AP76" s="53"/>
      <c r="AQ76" s="66"/>
      <c r="AR76" s="102"/>
    </row>
    <row r="77" spans="1:44" ht="18" customHeight="1" x14ac:dyDescent="0.35">
      <c r="A77" s="286"/>
      <c r="B77" s="286"/>
      <c r="C77" s="281"/>
      <c r="D77" s="281"/>
      <c r="E77" s="281"/>
      <c r="F77" s="71"/>
      <c r="G77" s="50"/>
      <c r="H77" s="50"/>
      <c r="I77" s="50"/>
      <c r="J77" s="71"/>
      <c r="K77" s="50"/>
      <c r="L77" s="50"/>
      <c r="M77" s="50"/>
      <c r="N77" s="71"/>
      <c r="O77" s="58"/>
      <c r="P77" s="50"/>
      <c r="Q77" s="50"/>
      <c r="R77" s="55"/>
      <c r="S77" s="71"/>
      <c r="T77" s="50"/>
      <c r="U77" s="50"/>
      <c r="V77" s="70"/>
      <c r="W77" s="71"/>
      <c r="X77" s="50"/>
      <c r="Y77" s="50"/>
      <c r="Z77" s="70"/>
      <c r="AA77" s="71"/>
      <c r="AB77" s="50"/>
      <c r="AC77" s="50"/>
      <c r="AD77" s="50"/>
      <c r="AE77" s="70"/>
      <c r="AF77" s="71"/>
      <c r="AG77" s="50"/>
      <c r="AH77" s="50"/>
      <c r="AI77" s="70"/>
      <c r="AJ77" s="71"/>
      <c r="AK77" s="50"/>
      <c r="AL77" s="50"/>
      <c r="AM77" s="70"/>
      <c r="AN77" s="71"/>
      <c r="AO77" s="50"/>
      <c r="AP77" s="50"/>
      <c r="AQ77" s="55"/>
      <c r="AR77" s="102"/>
    </row>
    <row r="78" spans="1:44" ht="21.75" customHeight="1" x14ac:dyDescent="0.35">
      <c r="A78" s="286"/>
      <c r="B78" s="286"/>
      <c r="C78" s="281"/>
      <c r="D78" s="281"/>
      <c r="E78" s="281"/>
      <c r="F78" s="71"/>
      <c r="G78" s="50"/>
      <c r="H78" s="50"/>
      <c r="I78" s="50"/>
      <c r="J78" s="71"/>
      <c r="K78" s="50"/>
      <c r="L78" s="50"/>
      <c r="M78" s="50"/>
      <c r="N78" s="71"/>
      <c r="O78" s="58"/>
      <c r="P78" s="50"/>
      <c r="Q78" s="50"/>
      <c r="R78" s="55"/>
      <c r="S78" s="71"/>
      <c r="T78" s="50"/>
      <c r="U78" s="50"/>
      <c r="V78" s="70"/>
      <c r="W78" s="71"/>
      <c r="X78" s="50"/>
      <c r="Y78" s="50"/>
      <c r="Z78" s="70"/>
      <c r="AA78" s="71"/>
      <c r="AB78" s="50"/>
      <c r="AC78" s="50"/>
      <c r="AD78" s="50"/>
      <c r="AE78" s="70"/>
      <c r="AF78" s="71"/>
      <c r="AG78" s="50"/>
      <c r="AH78" s="50"/>
      <c r="AI78" s="70"/>
      <c r="AJ78" s="71"/>
      <c r="AK78" s="50"/>
      <c r="AL78" s="50"/>
      <c r="AM78" s="70"/>
      <c r="AN78" s="71"/>
      <c r="AO78" s="50"/>
      <c r="AP78" s="50"/>
      <c r="AQ78" s="55"/>
      <c r="AR78" s="102"/>
    </row>
    <row r="79" spans="1:44" ht="67.5" customHeight="1" x14ac:dyDescent="0.35">
      <c r="A79" s="286"/>
      <c r="B79" s="286"/>
      <c r="C79" s="281"/>
      <c r="D79" s="281"/>
      <c r="E79" s="281"/>
      <c r="F79" s="71"/>
      <c r="G79" s="50"/>
      <c r="H79" s="50"/>
      <c r="I79" s="50"/>
      <c r="J79" s="71"/>
      <c r="K79" s="50"/>
      <c r="M79" s="50"/>
      <c r="N79" s="71"/>
      <c r="O79" s="58"/>
      <c r="P79" s="50"/>
      <c r="Q79" s="50"/>
      <c r="R79" s="55"/>
      <c r="S79" s="71"/>
      <c r="T79" s="50"/>
      <c r="U79" s="50"/>
      <c r="V79" s="70"/>
      <c r="W79" s="71"/>
      <c r="X79" s="50"/>
      <c r="Y79" s="50"/>
      <c r="Z79" s="70"/>
      <c r="AA79" s="71"/>
      <c r="AB79" s="50"/>
      <c r="AC79" s="50"/>
      <c r="AD79" s="50"/>
      <c r="AE79" s="70"/>
      <c r="AF79" s="71"/>
      <c r="AG79" s="50"/>
      <c r="AH79" s="50"/>
      <c r="AI79" s="70"/>
      <c r="AJ79" s="71"/>
      <c r="AK79" s="50"/>
      <c r="AL79" s="50"/>
      <c r="AM79" s="70"/>
      <c r="AN79" s="71"/>
      <c r="AO79" s="50"/>
      <c r="AP79" s="50"/>
      <c r="AQ79" s="55"/>
      <c r="AR79" s="102"/>
    </row>
    <row r="80" spans="1:44" s="16" customFormat="1" ht="171.75" customHeight="1" thickBot="1" x14ac:dyDescent="0.4">
      <c r="A80" s="286"/>
      <c r="B80" s="286"/>
      <c r="C80" s="282"/>
      <c r="D80" s="282"/>
      <c r="E80" s="282"/>
      <c r="F80" s="73"/>
      <c r="G80" s="52"/>
      <c r="H80" s="52"/>
      <c r="I80" s="140"/>
      <c r="J80" s="141"/>
      <c r="K80" s="52"/>
      <c r="L80" s="52"/>
      <c r="M80" s="52"/>
      <c r="N80" s="73"/>
      <c r="O80" s="59"/>
      <c r="P80" s="52"/>
      <c r="Q80" s="52"/>
      <c r="R80" s="72"/>
      <c r="S80" s="73"/>
      <c r="T80" s="52"/>
      <c r="U80" s="52"/>
      <c r="V80" s="72"/>
      <c r="W80" s="73"/>
      <c r="X80" s="52"/>
      <c r="Y80" s="52"/>
      <c r="Z80" s="72"/>
      <c r="AA80" s="73"/>
      <c r="AB80" s="52"/>
      <c r="AD80" s="52"/>
      <c r="AE80" s="72"/>
      <c r="AF80" s="73"/>
      <c r="AG80" s="52"/>
      <c r="AH80" s="52"/>
      <c r="AI80" s="72"/>
      <c r="AJ80" s="73"/>
      <c r="AK80" s="52"/>
      <c r="AL80" s="52"/>
      <c r="AM80" s="72"/>
      <c r="AN80" s="73"/>
      <c r="AO80" s="52"/>
      <c r="AP80" s="52"/>
      <c r="AQ80" s="56"/>
      <c r="AR80" s="102"/>
    </row>
    <row r="81" spans="1:44" s="128" customFormat="1" x14ac:dyDescent="0.35"/>
    <row r="82" spans="1:44" s="128" customFormat="1" x14ac:dyDescent="0.35"/>
    <row r="83" spans="1:44" ht="19" thickBot="1" x14ac:dyDescent="0.5">
      <c r="B83" s="103"/>
      <c r="C83" s="126"/>
      <c r="D83" s="126" t="s">
        <v>11</v>
      </c>
      <c r="E83" s="107" t="s">
        <v>72</v>
      </c>
      <c r="F83" s="277" t="s">
        <v>34</v>
      </c>
      <c r="G83" s="278"/>
      <c r="H83" s="278"/>
      <c r="I83" s="278"/>
      <c r="J83" s="277" t="s">
        <v>23</v>
      </c>
      <c r="K83" s="278"/>
      <c r="L83" s="278"/>
      <c r="M83" s="278"/>
      <c r="N83" s="277" t="s">
        <v>35</v>
      </c>
      <c r="O83" s="278"/>
      <c r="P83" s="278"/>
      <c r="Q83" s="278"/>
      <c r="R83" s="278"/>
      <c r="S83" s="277" t="s">
        <v>36</v>
      </c>
      <c r="T83" s="278"/>
      <c r="U83" s="278"/>
      <c r="V83" s="278"/>
      <c r="W83" s="277" t="s">
        <v>26</v>
      </c>
      <c r="X83" s="278"/>
      <c r="Y83" s="278"/>
      <c r="Z83" s="278"/>
      <c r="AA83" s="277" t="s">
        <v>37</v>
      </c>
      <c r="AB83" s="278"/>
      <c r="AC83" s="278"/>
      <c r="AD83" s="278"/>
      <c r="AE83" s="278"/>
      <c r="AF83" s="277" t="s">
        <v>28</v>
      </c>
      <c r="AG83" s="278"/>
      <c r="AH83" s="278"/>
      <c r="AI83" s="278"/>
      <c r="AJ83" s="277" t="s">
        <v>29</v>
      </c>
      <c r="AK83" s="278"/>
      <c r="AL83" s="278"/>
      <c r="AM83" s="278"/>
      <c r="AN83" s="277" t="s">
        <v>30</v>
      </c>
      <c r="AO83" s="278"/>
      <c r="AP83" s="278"/>
      <c r="AQ83" s="278"/>
      <c r="AR83" s="102"/>
    </row>
    <row r="84" spans="1:44" s="104" customFormat="1" ht="18" customHeight="1" x14ac:dyDescent="0.35">
      <c r="A84" s="279" t="s">
        <v>66</v>
      </c>
      <c r="B84" s="279"/>
      <c r="C84" s="280"/>
      <c r="D84" s="280"/>
      <c r="E84" s="280"/>
      <c r="F84" s="74"/>
      <c r="G84" s="53"/>
      <c r="H84" s="53"/>
      <c r="I84" s="53"/>
      <c r="J84" s="74"/>
      <c r="K84" s="53"/>
      <c r="L84" s="53"/>
      <c r="M84" s="53"/>
      <c r="N84" s="74"/>
      <c r="O84" s="67"/>
      <c r="P84" s="53"/>
      <c r="Q84" s="53"/>
      <c r="R84" s="66"/>
      <c r="S84" s="74"/>
      <c r="T84" s="53"/>
      <c r="U84" s="53"/>
      <c r="V84" s="75"/>
      <c r="W84" s="74"/>
      <c r="X84" s="53"/>
      <c r="Y84" s="53"/>
      <c r="Z84" s="75"/>
      <c r="AA84" s="74"/>
      <c r="AB84" s="53"/>
      <c r="AC84" s="53"/>
      <c r="AD84" s="53"/>
      <c r="AE84" s="75"/>
      <c r="AF84" s="74"/>
      <c r="AG84" s="53"/>
      <c r="AH84" s="53"/>
      <c r="AI84" s="75"/>
      <c r="AJ84" s="74"/>
      <c r="AK84" s="53"/>
      <c r="AL84" s="53"/>
      <c r="AM84" s="75"/>
      <c r="AN84" s="74"/>
      <c r="AO84" s="53"/>
      <c r="AP84" s="53"/>
      <c r="AQ84" s="66"/>
      <c r="AR84" s="102"/>
    </row>
    <row r="85" spans="1:44" ht="18" customHeight="1" x14ac:dyDescent="0.35">
      <c r="A85" s="279"/>
      <c r="B85" s="279"/>
      <c r="C85" s="281"/>
      <c r="D85" s="281"/>
      <c r="E85" s="281"/>
      <c r="F85" s="71"/>
      <c r="G85" s="50"/>
      <c r="H85" s="50"/>
      <c r="I85" s="50"/>
      <c r="J85" s="71"/>
      <c r="K85" s="50"/>
      <c r="L85" s="50"/>
      <c r="M85" s="50"/>
      <c r="N85" s="71"/>
      <c r="O85" s="58"/>
      <c r="P85" s="50"/>
      <c r="Q85" s="50"/>
      <c r="R85" s="55"/>
      <c r="S85" s="71"/>
      <c r="T85" s="50"/>
      <c r="U85" s="50"/>
      <c r="V85" s="70"/>
      <c r="W85" s="71"/>
      <c r="X85" s="50"/>
      <c r="Y85" s="50"/>
      <c r="Z85" s="70"/>
      <c r="AA85" s="71"/>
      <c r="AB85" s="50"/>
      <c r="AC85" s="50"/>
      <c r="AD85" s="50"/>
      <c r="AE85" s="70"/>
      <c r="AF85" s="71"/>
      <c r="AG85" s="50"/>
      <c r="AH85" s="50"/>
      <c r="AI85" s="70"/>
      <c r="AJ85" s="71"/>
      <c r="AK85" s="50"/>
      <c r="AL85" s="50"/>
      <c r="AM85" s="70"/>
      <c r="AN85" s="71"/>
      <c r="AO85" s="50"/>
      <c r="AP85" s="50"/>
      <c r="AQ85" s="55"/>
      <c r="AR85" s="102"/>
    </row>
    <row r="86" spans="1:44" ht="21.75" customHeight="1" x14ac:dyDescent="0.35">
      <c r="A86" s="279"/>
      <c r="B86" s="279"/>
      <c r="C86" s="281"/>
      <c r="D86" s="281"/>
      <c r="E86" s="281"/>
      <c r="F86" s="71"/>
      <c r="G86" s="50"/>
      <c r="H86" s="50"/>
      <c r="I86" s="50"/>
      <c r="J86" s="71"/>
      <c r="K86" s="50"/>
      <c r="L86" s="50"/>
      <c r="M86" s="50"/>
      <c r="N86" s="71"/>
      <c r="O86" s="58"/>
      <c r="P86" s="50"/>
      <c r="Q86" s="50"/>
      <c r="R86" s="55"/>
      <c r="S86" s="71"/>
      <c r="T86" s="50"/>
      <c r="U86" s="50"/>
      <c r="V86" s="70"/>
      <c r="W86" s="71"/>
      <c r="X86" s="50"/>
      <c r="Y86" s="50"/>
      <c r="Z86" s="70"/>
      <c r="AA86" s="71"/>
      <c r="AB86" s="50"/>
      <c r="AC86" s="50"/>
      <c r="AD86" s="50"/>
      <c r="AE86" s="70"/>
      <c r="AF86" s="71"/>
      <c r="AG86" s="50"/>
      <c r="AH86" s="50"/>
      <c r="AI86" s="70"/>
      <c r="AJ86" s="71"/>
      <c r="AK86" s="50"/>
      <c r="AL86" s="50"/>
      <c r="AM86" s="70"/>
      <c r="AN86" s="71"/>
      <c r="AO86" s="50"/>
      <c r="AP86" s="50"/>
      <c r="AQ86" s="55"/>
      <c r="AR86" s="102"/>
    </row>
    <row r="87" spans="1:44" ht="67.5" customHeight="1" x14ac:dyDescent="0.35">
      <c r="A87" s="279"/>
      <c r="B87" s="279"/>
      <c r="C87" s="281"/>
      <c r="D87" s="281"/>
      <c r="E87" s="281"/>
      <c r="F87" s="71"/>
      <c r="G87" s="50"/>
      <c r="H87" s="50"/>
      <c r="I87" s="50"/>
      <c r="J87" s="71"/>
      <c r="K87" s="50"/>
      <c r="M87" s="50"/>
      <c r="N87" s="71"/>
      <c r="O87" s="58"/>
      <c r="P87" s="50"/>
      <c r="Q87" s="50"/>
      <c r="R87" s="55"/>
      <c r="S87" s="71"/>
      <c r="T87" s="50"/>
      <c r="U87" s="50"/>
      <c r="V87" s="70"/>
      <c r="W87" s="71"/>
      <c r="X87" s="50"/>
      <c r="Y87" s="50"/>
      <c r="Z87" s="70"/>
      <c r="AA87" s="71"/>
      <c r="AB87" s="50"/>
      <c r="AC87" s="50"/>
      <c r="AD87" s="50"/>
      <c r="AE87" s="70"/>
      <c r="AF87" s="71"/>
      <c r="AG87" s="50"/>
      <c r="AH87" s="50"/>
      <c r="AI87" s="70"/>
      <c r="AJ87" s="71"/>
      <c r="AK87" s="50"/>
      <c r="AL87" s="50"/>
      <c r="AM87" s="70"/>
      <c r="AN87" s="71"/>
      <c r="AO87" s="50"/>
      <c r="AP87" s="50"/>
      <c r="AQ87" s="55"/>
      <c r="AR87" s="102"/>
    </row>
    <row r="88" spans="1:44" s="16" customFormat="1" ht="375.65" customHeight="1" thickBot="1" x14ac:dyDescent="0.4">
      <c r="A88" s="279"/>
      <c r="B88" s="279"/>
      <c r="C88" s="282"/>
      <c r="D88" s="282"/>
      <c r="E88" s="282"/>
      <c r="F88" s="73"/>
      <c r="G88" s="52"/>
      <c r="H88" s="52"/>
      <c r="I88" s="140"/>
      <c r="J88" s="141"/>
      <c r="K88" s="52"/>
      <c r="L88" s="52"/>
      <c r="M88" s="52"/>
      <c r="N88" s="73"/>
      <c r="O88" s="59"/>
      <c r="P88" s="52"/>
      <c r="Q88" s="52"/>
      <c r="R88" s="72"/>
      <c r="S88" s="73"/>
      <c r="T88" s="52"/>
      <c r="U88" s="52"/>
      <c r="V88" s="72"/>
      <c r="W88" s="73"/>
      <c r="X88" s="52"/>
      <c r="Y88" s="52"/>
      <c r="Z88" s="72"/>
      <c r="AA88" s="73"/>
      <c r="AB88" s="52"/>
      <c r="AD88" s="52"/>
      <c r="AE88" s="72"/>
      <c r="AF88" s="73"/>
      <c r="AG88" s="52"/>
      <c r="AH88" s="52"/>
      <c r="AI88" s="72"/>
      <c r="AJ88" s="73"/>
      <c r="AK88" s="52"/>
      <c r="AL88" s="52"/>
      <c r="AM88" s="72"/>
      <c r="AN88" s="73"/>
      <c r="AO88" s="52"/>
      <c r="AP88" s="52"/>
      <c r="AQ88" s="56"/>
      <c r="AR88" s="102"/>
    </row>
    <row r="89" spans="1:44" s="128" customFormat="1" x14ac:dyDescent="0.35"/>
    <row r="90" spans="1:44" s="128" customFormat="1" x14ac:dyDescent="0.35"/>
    <row r="91" spans="1:44" s="128" customFormat="1" x14ac:dyDescent="0.35"/>
    <row r="92" spans="1:44" ht="15.75" customHeight="1" thickBot="1" x14ac:dyDescent="0.5">
      <c r="B92" s="103"/>
      <c r="C92" s="126"/>
      <c r="D92" s="126" t="s">
        <v>11</v>
      </c>
      <c r="E92" s="107" t="s">
        <v>72</v>
      </c>
      <c r="F92" s="283" t="s">
        <v>34</v>
      </c>
      <c r="G92" s="284"/>
      <c r="H92" s="284"/>
      <c r="I92" s="285"/>
      <c r="J92" s="283" t="s">
        <v>23</v>
      </c>
      <c r="K92" s="284"/>
      <c r="L92" s="284"/>
      <c r="M92" s="285"/>
      <c r="N92" s="283" t="s">
        <v>35</v>
      </c>
      <c r="O92" s="284"/>
      <c r="P92" s="284"/>
      <c r="Q92" s="284"/>
      <c r="R92" s="285"/>
      <c r="S92" s="283" t="s">
        <v>36</v>
      </c>
      <c r="T92" s="284"/>
      <c r="U92" s="284"/>
      <c r="V92" s="285"/>
      <c r="W92" s="283" t="s">
        <v>26</v>
      </c>
      <c r="X92" s="284"/>
      <c r="Y92" s="284"/>
      <c r="Z92" s="285"/>
      <c r="AA92" s="283" t="s">
        <v>37</v>
      </c>
      <c r="AB92" s="284"/>
      <c r="AC92" s="284"/>
      <c r="AD92" s="284"/>
      <c r="AE92" s="285"/>
      <c r="AF92" s="283" t="s">
        <v>28</v>
      </c>
      <c r="AG92" s="284"/>
      <c r="AH92" s="284"/>
      <c r="AI92" s="285"/>
      <c r="AJ92" s="283" t="s">
        <v>29</v>
      </c>
      <c r="AK92" s="284"/>
      <c r="AL92" s="284"/>
      <c r="AM92" s="285"/>
      <c r="AN92" s="283" t="s">
        <v>30</v>
      </c>
      <c r="AO92" s="284"/>
      <c r="AP92" s="284"/>
      <c r="AQ92" s="285"/>
      <c r="AR92" s="102"/>
    </row>
    <row r="93" spans="1:44" s="104" customFormat="1" ht="18" customHeight="1" x14ac:dyDescent="0.35">
      <c r="A93" s="288" t="s">
        <v>95</v>
      </c>
      <c r="B93" s="288"/>
      <c r="C93" s="280"/>
      <c r="D93" s="280"/>
      <c r="E93" s="280"/>
      <c r="F93" s="74"/>
      <c r="G93" s="53"/>
      <c r="H93" s="53"/>
      <c r="I93" s="53"/>
      <c r="J93" s="74"/>
      <c r="K93" s="53"/>
      <c r="L93" s="53"/>
      <c r="M93" s="53"/>
      <c r="N93" s="74"/>
      <c r="O93" s="67"/>
      <c r="P93" s="53"/>
      <c r="Q93" s="53"/>
      <c r="R93" s="66"/>
      <c r="S93" s="74"/>
      <c r="T93" s="53"/>
      <c r="U93" s="53"/>
      <c r="V93" s="75"/>
      <c r="W93" s="74"/>
      <c r="X93" s="53"/>
      <c r="Y93" s="53"/>
      <c r="Z93" s="75"/>
      <c r="AA93" s="74"/>
      <c r="AB93" s="53"/>
      <c r="AC93" s="53"/>
      <c r="AD93" s="53"/>
      <c r="AE93" s="75"/>
      <c r="AF93" s="74"/>
      <c r="AG93" s="53"/>
      <c r="AH93" s="53"/>
      <c r="AI93" s="75"/>
      <c r="AJ93" s="74"/>
      <c r="AK93" s="53"/>
      <c r="AL93" s="53"/>
      <c r="AM93" s="75"/>
      <c r="AN93" s="74"/>
      <c r="AO93" s="53"/>
      <c r="AP93" s="53"/>
      <c r="AQ93" s="66"/>
      <c r="AR93" s="102"/>
    </row>
    <row r="94" spans="1:44" ht="18" customHeight="1" x14ac:dyDescent="0.35">
      <c r="A94" s="288"/>
      <c r="B94" s="288"/>
      <c r="C94" s="281"/>
      <c r="D94" s="281"/>
      <c r="E94" s="281"/>
      <c r="F94" s="71"/>
      <c r="G94" s="50"/>
      <c r="H94" s="50"/>
      <c r="I94" s="50"/>
      <c r="J94" s="71"/>
      <c r="K94" s="50"/>
      <c r="L94" s="50"/>
      <c r="M94" s="50"/>
      <c r="N94" s="71"/>
      <c r="O94" s="58"/>
      <c r="P94" s="50"/>
      <c r="Q94" s="50"/>
      <c r="R94" s="55"/>
      <c r="S94" s="71"/>
      <c r="T94" s="50"/>
      <c r="U94" s="50"/>
      <c r="V94" s="70"/>
      <c r="W94" s="71"/>
      <c r="X94" s="50"/>
      <c r="Y94" s="50"/>
      <c r="Z94" s="70"/>
      <c r="AA94" s="71"/>
      <c r="AB94" s="50"/>
      <c r="AC94" s="50"/>
      <c r="AD94" s="50"/>
      <c r="AE94" s="70"/>
      <c r="AF94" s="71"/>
      <c r="AG94" s="50"/>
      <c r="AH94" s="50"/>
      <c r="AI94" s="70"/>
      <c r="AJ94" s="71"/>
      <c r="AK94" s="50"/>
      <c r="AL94" s="50"/>
      <c r="AM94" s="70"/>
      <c r="AN94" s="71"/>
      <c r="AO94" s="50"/>
      <c r="AP94" s="50"/>
      <c r="AQ94" s="55"/>
      <c r="AR94" s="102"/>
    </row>
    <row r="95" spans="1:44" ht="21.75" customHeight="1" x14ac:dyDescent="0.35">
      <c r="A95" s="288"/>
      <c r="B95" s="288"/>
      <c r="C95" s="281"/>
      <c r="D95" s="281"/>
      <c r="E95" s="281"/>
      <c r="F95" s="71"/>
      <c r="G95" s="50"/>
      <c r="H95" s="50"/>
      <c r="I95" s="50"/>
      <c r="J95" s="71"/>
      <c r="K95" s="50"/>
      <c r="L95" s="50"/>
      <c r="M95" s="50"/>
      <c r="N95" s="71"/>
      <c r="O95" s="58"/>
      <c r="P95" s="50"/>
      <c r="Q95" s="50"/>
      <c r="R95" s="55"/>
      <c r="S95" s="71"/>
      <c r="T95" s="50"/>
      <c r="U95" s="50"/>
      <c r="V95" s="70"/>
      <c r="W95" s="71"/>
      <c r="X95" s="50"/>
      <c r="Y95" s="50"/>
      <c r="Z95" s="70"/>
      <c r="AA95" s="71"/>
      <c r="AB95" s="50"/>
      <c r="AC95" s="50"/>
      <c r="AD95" s="50"/>
      <c r="AE95" s="70"/>
      <c r="AF95" s="71"/>
      <c r="AG95" s="50"/>
      <c r="AH95" s="50"/>
      <c r="AI95" s="70"/>
      <c r="AJ95" s="71"/>
      <c r="AK95" s="50"/>
      <c r="AL95" s="50"/>
      <c r="AM95" s="70"/>
      <c r="AN95" s="71"/>
      <c r="AO95" s="50"/>
      <c r="AP95" s="50"/>
      <c r="AQ95" s="55"/>
      <c r="AR95" s="102"/>
    </row>
    <row r="96" spans="1:44" ht="67.5" customHeight="1" x14ac:dyDescent="0.35">
      <c r="A96" s="288"/>
      <c r="B96" s="288"/>
      <c r="C96" s="281"/>
      <c r="D96" s="281"/>
      <c r="E96" s="281"/>
      <c r="F96" s="71"/>
      <c r="G96" s="50"/>
      <c r="H96" s="50"/>
      <c r="I96" s="50"/>
      <c r="J96" s="71"/>
      <c r="K96" s="50"/>
      <c r="M96" s="50"/>
      <c r="N96" s="71"/>
      <c r="O96" s="58"/>
      <c r="P96" s="50"/>
      <c r="Q96" s="50"/>
      <c r="R96" s="55"/>
      <c r="S96" s="71"/>
      <c r="T96" s="50"/>
      <c r="U96" s="50"/>
      <c r="V96" s="70"/>
      <c r="W96" s="71"/>
      <c r="X96" s="50"/>
      <c r="Y96" s="50"/>
      <c r="Z96" s="70"/>
      <c r="AA96" s="71"/>
      <c r="AB96" s="50"/>
      <c r="AC96" s="50"/>
      <c r="AD96" s="50"/>
      <c r="AE96" s="70"/>
      <c r="AF96" s="71"/>
      <c r="AG96" s="50"/>
      <c r="AH96" s="50"/>
      <c r="AI96" s="70"/>
      <c r="AJ96" s="71"/>
      <c r="AK96" s="50"/>
      <c r="AL96" s="50"/>
      <c r="AM96" s="70"/>
      <c r="AN96" s="71"/>
      <c r="AO96" s="50"/>
      <c r="AP96" s="50"/>
      <c r="AQ96" s="55"/>
      <c r="AR96" s="102"/>
    </row>
    <row r="97" spans="1:44" s="16" customFormat="1" ht="171.75" customHeight="1" thickBot="1" x14ac:dyDescent="0.4">
      <c r="A97" s="288"/>
      <c r="B97" s="288"/>
      <c r="C97" s="282"/>
      <c r="D97" s="282"/>
      <c r="E97" s="282"/>
      <c r="F97" s="73"/>
      <c r="G97" s="52"/>
      <c r="H97" s="52"/>
      <c r="I97" s="140"/>
      <c r="J97" s="141"/>
      <c r="K97" s="52"/>
      <c r="L97" s="52"/>
      <c r="M97" s="52"/>
      <c r="N97" s="73"/>
      <c r="O97" s="59"/>
      <c r="P97" s="52"/>
      <c r="Q97" s="52"/>
      <c r="R97" s="72"/>
      <c r="S97" s="73"/>
      <c r="T97" s="52"/>
      <c r="U97" s="52"/>
      <c r="V97" s="72"/>
      <c r="W97" s="73"/>
      <c r="X97" s="52"/>
      <c r="Y97" s="52"/>
      <c r="Z97" s="72"/>
      <c r="AA97" s="73"/>
      <c r="AB97" s="52"/>
      <c r="AD97" s="52"/>
      <c r="AE97" s="72"/>
      <c r="AF97" s="73"/>
      <c r="AG97" s="52"/>
      <c r="AH97" s="52"/>
      <c r="AI97" s="72"/>
      <c r="AJ97" s="73"/>
      <c r="AK97" s="52"/>
      <c r="AL97" s="52"/>
      <c r="AM97" s="72"/>
      <c r="AN97" s="73"/>
      <c r="AO97" s="52"/>
      <c r="AP97" s="52"/>
      <c r="AQ97" s="56"/>
      <c r="AR97" s="102"/>
    </row>
  </sheetData>
  <mergeCells count="68">
    <mergeCell ref="C7:C8"/>
    <mergeCell ref="C9:C10"/>
    <mergeCell ref="C15:C16"/>
    <mergeCell ref="B3:B14"/>
    <mergeCell ref="B15:B16"/>
    <mergeCell ref="AN83:AQ83"/>
    <mergeCell ref="A84:B88"/>
    <mergeCell ref="D84:D88"/>
    <mergeCell ref="E84:E88"/>
    <mergeCell ref="F83:I83"/>
    <mergeCell ref="J83:M83"/>
    <mergeCell ref="N83:R83"/>
    <mergeCell ref="S83:V83"/>
    <mergeCell ref="W83:Z83"/>
    <mergeCell ref="AA83:AE83"/>
    <mergeCell ref="C84:C88"/>
    <mergeCell ref="AF83:AI83"/>
    <mergeCell ref="AN2:AQ2"/>
    <mergeCell ref="F2:I2"/>
    <mergeCell ref="J2:M2"/>
    <mergeCell ref="N2:R2"/>
    <mergeCell ref="S2:V2"/>
    <mergeCell ref="W2:Z2"/>
    <mergeCell ref="AA2:AE2"/>
    <mergeCell ref="AF2:AI2"/>
    <mergeCell ref="AJ2:AM2"/>
    <mergeCell ref="D4:D5"/>
    <mergeCell ref="E4:E5"/>
    <mergeCell ref="AA92:AE92"/>
    <mergeCell ref="AF92:AI92"/>
    <mergeCell ref="AJ92:AM92"/>
    <mergeCell ref="AA75:AE75"/>
    <mergeCell ref="AF75:AI75"/>
    <mergeCell ref="AJ75:AM75"/>
    <mergeCell ref="AA49:AE49"/>
    <mergeCell ref="AF49:AI49"/>
    <mergeCell ref="AJ49:AM49"/>
    <mergeCell ref="AJ83:AM83"/>
    <mergeCell ref="AN92:AQ92"/>
    <mergeCell ref="A93:B97"/>
    <mergeCell ref="D93:D97"/>
    <mergeCell ref="E93:E97"/>
    <mergeCell ref="F92:I92"/>
    <mergeCell ref="J92:M92"/>
    <mergeCell ref="N92:R92"/>
    <mergeCell ref="S92:V92"/>
    <mergeCell ref="W92:Z92"/>
    <mergeCell ref="C93:C97"/>
    <mergeCell ref="AN49:AQ49"/>
    <mergeCell ref="A50:B71"/>
    <mergeCell ref="D50:D71"/>
    <mergeCell ref="E50:E71"/>
    <mergeCell ref="F49:I49"/>
    <mergeCell ref="J49:M49"/>
    <mergeCell ref="N49:R49"/>
    <mergeCell ref="S49:V49"/>
    <mergeCell ref="W49:Z49"/>
    <mergeCell ref="C50:C71"/>
    <mergeCell ref="AN75:AQ75"/>
    <mergeCell ref="A76:B80"/>
    <mergeCell ref="D76:D80"/>
    <mergeCell ref="E76:E80"/>
    <mergeCell ref="F75:I75"/>
    <mergeCell ref="J75:M75"/>
    <mergeCell ref="N75:R75"/>
    <mergeCell ref="S75:V75"/>
    <mergeCell ref="W75:Z75"/>
    <mergeCell ref="C76:C80"/>
  </mergeCells>
  <phoneticPr fontId="31" type="noConversion"/>
  <pageMargins left="0" right="0" top="0.19685039370078741" bottom="0" header="0" footer="0"/>
  <pageSetup paperSize="8" scale="21" orientation="landscape" r:id="rId1"/>
  <rowBreaks count="1" manualBreakCount="1">
    <brk id="1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7A8A3502112E458BC2387C6042F754" ma:contentTypeVersion="15" ma:contentTypeDescription="Crie um novo documento." ma:contentTypeScope="" ma:versionID="f0266f77e38bbc7eb8fcebccfd26e280">
  <xsd:schema xmlns:xsd="http://www.w3.org/2001/XMLSchema" xmlns:xs="http://www.w3.org/2001/XMLSchema" xmlns:p="http://schemas.microsoft.com/office/2006/metadata/properties" xmlns:ns2="5437d8bd-66e8-4348-8c81-93eda887c7f9" xmlns:ns3="70048b97-484d-458f-89a2-5f5e52829c38" targetNamespace="http://schemas.microsoft.com/office/2006/metadata/properties" ma:root="true" ma:fieldsID="4954c32029c8fea9de7383487165a355" ns2:_="" ns3:_="">
    <xsd:import namespace="5437d8bd-66e8-4348-8c81-93eda887c7f9"/>
    <xsd:import namespace="70048b97-484d-458f-89a2-5f5e52829c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7d8bd-66e8-4348-8c81-93eda887c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b9735b4-3f13-4c82-8047-9cfcb5a32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48b97-484d-458f-89a2-5f5e52829c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735fe78-de65-41c4-9c0c-4120fd438061}" ma:internalName="TaxCatchAll" ma:showField="CatchAllData" ma:web="70048b97-484d-458f-89a2-5f5e52829c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048b97-484d-458f-89a2-5f5e52829c38" xsi:nil="true"/>
    <lcf76f155ced4ddcb4097134ff3c332f xmlns="5437d8bd-66e8-4348-8c81-93eda887c7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A7308-1482-4B5A-9C7A-95DF673A6F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7d8bd-66e8-4348-8c81-93eda887c7f9"/>
    <ds:schemaRef ds:uri="70048b97-484d-458f-89a2-5f5e52829c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E7F34B-9A2F-413C-B42A-616B3D58B022}">
  <ds:schemaRefs>
    <ds:schemaRef ds:uri="http://schemas.microsoft.com/office/2006/metadata/properties"/>
    <ds:schemaRef ds:uri="http://schemas.microsoft.com/office/infopath/2007/PartnerControls"/>
    <ds:schemaRef ds:uri="70048b97-484d-458f-89a2-5f5e52829c38"/>
    <ds:schemaRef ds:uri="5437d8bd-66e8-4348-8c81-93eda887c7f9"/>
  </ds:schemaRefs>
</ds:datastoreItem>
</file>

<file path=customXml/itemProps3.xml><?xml version="1.0" encoding="utf-8"?>
<ds:datastoreItem xmlns:ds="http://schemas.openxmlformats.org/officeDocument/2006/customXml" ds:itemID="{FE2031D7-0C6C-41CB-B0B1-A9CB2B044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Detailed Status</vt:lpstr>
      <vt:lpstr>Tax Reform</vt:lpstr>
      <vt:lpstr>Sales Demand - Summary Report</vt:lpstr>
      <vt:lpstr>Summary Commercial Demands</vt:lpstr>
      <vt:lpstr>'Detailed Status'!Area_de_impressao</vt:lpstr>
      <vt:lpstr>'Sales Demand - Summary Report'!Area_de_impressao</vt:lpstr>
      <vt:lpstr>'Summary Commercial Demands'!Area_de_impressao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Francisco Saraiva Ibiapina</dc:creator>
  <cp:keywords/>
  <dc:description/>
  <cp:lastModifiedBy>Marcelo Lopes</cp:lastModifiedBy>
  <cp:revision/>
  <dcterms:created xsi:type="dcterms:W3CDTF">2023-11-01T18:23:25Z</dcterms:created>
  <dcterms:modified xsi:type="dcterms:W3CDTF">2025-12-12T09:39:26Z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0x0101005C7A8A3502112E458BC2387C6042F754</vt:lpwstr>
  </property>
  <property fmtid="{D5CDD505-2E9C-101B-9397-08002B2CF9AE}" pid="3" name="MediaServiceImageTags">
    <vt:lpwstr/>
  </property>
</Properties>
</file>